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claire/Desktop/"/>
    </mc:Choice>
  </mc:AlternateContent>
  <xr:revisionPtr revIDLastSave="0" documentId="13_ncr:1_{8EE183ED-50A5-AB4E-915F-13E3B7687FE9}" xr6:coauthVersionLast="47" xr6:coauthVersionMax="47" xr10:uidLastSave="{00000000-0000-0000-0000-000000000000}"/>
  <bookViews>
    <workbookView xWindow="0" yWindow="740" windowWidth="28800" windowHeight="17080" activeTab="1" xr2:uid="{00000000-000D-0000-FFFF-FFFF00000000}"/>
  </bookViews>
  <sheets>
    <sheet name="0_README" sheetId="1" r:id="rId1"/>
    <sheet name="1_Schema" sheetId="2" r:id="rId2"/>
    <sheet name="2_Cross_Layer_Edges" sheetId="3" r:id="rId3"/>
    <sheet name="3_Flags" sheetId="4" r:id="rId4"/>
    <sheet name="4_Vocab" sheetId="5" r:id="rId5"/>
    <sheet name="5_Output_Mapping" sheetId="6" r:id="rId6"/>
    <sheet name="6_Interface_Invariants" sheetId="7" r:id="rId7"/>
    <sheet name="7_Document_Evaluation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8" l="1"/>
  <c r="G21" i="8"/>
  <c r="G20" i="8"/>
  <c r="G19" i="8"/>
  <c r="G18" i="8"/>
  <c r="G17" i="8"/>
  <c r="G16" i="8"/>
  <c r="G15" i="8"/>
  <c r="G14" i="8"/>
  <c r="G13" i="8"/>
  <c r="G12" i="8"/>
  <c r="G11" i="8"/>
</calcChain>
</file>

<file path=xl/sharedStrings.xml><?xml version="1.0" encoding="utf-8"?>
<sst xmlns="http://schemas.openxmlformats.org/spreadsheetml/2006/main" count="5427" uniqueCount="1923">
  <si>
    <t>Sustentra — Scope 1 Data Schema | Comprehensive Final Review</t>
  </si>
  <si>
    <t>Current status</t>
  </si>
  <si>
    <t>The Scope 1 workbook does not require a major redesign. All issues identified under the current approved Scope 1 contract and the loaded stationary, mobile, fugitive, GHG Protocol, General-schema, and integration requirements have been corrected in this version. No major redesign is required. The workbook is implementation-ready for the methods it covers; complete production validation still depends on the open General-layer and deferred-method items listed below.</t>
  </si>
  <si>
    <t>Review basis and source hierarchy</t>
  </si>
  <si>
    <t>Superseded instructions</t>
  </si>
  <si>
    <t>Authority</t>
  </si>
  <si>
    <t>Use in this workbook</t>
  </si>
  <si>
    <t>Earlier instruction</t>
  </si>
  <si>
    <t>Current contract</t>
  </si>
  <si>
    <t>Approved project decisions</t>
  </si>
  <si>
    <t>Final 20-column schema, explicit shared keys, internal-only Derived_From, one S1-OUT interface, and the 13-column edge contract.</t>
  </si>
  <si>
    <t>16 columns / five tabs</t>
  </si>
  <si>
    <t>20 schema columns plus edges, mapping, invariants, and evaluation sheets.</t>
  </si>
  <si>
    <t>U.S. EPA Stationary Guidance (Dec. 2023)</t>
  </si>
  <si>
    <t>Detailed stationary CEMS and fuel-analysis methods.</t>
  </si>
  <si>
    <t>FLAG-conditional</t>
  </si>
  <si>
    <t>Executable Condition expressions with declared runtime fields.</t>
  </si>
  <si>
    <t>U.S. EPA Mobile Guidance (Dec. 2023)</t>
  </si>
  <si>
    <t>Separate mobile CO2 and CH4/N2O calculation methods.</t>
  </si>
  <si>
    <t>Cross-layer IDs in Derived_From</t>
  </si>
  <si>
    <t>Derived_From is Scope 1 internal only; cross-layer relationships use the edge table.</t>
  </si>
  <si>
    <t>U.S. EPA Fugitive Guidance (Dec. 2023)</t>
  </si>
  <si>
    <t>Refrigeration/AC, fire suppression, purchased gas, full material balance, and simplified material balance.</t>
  </si>
  <si>
    <t>Register Derived_From = FAC-010</t>
  </si>
  <si>
    <t>Registers store explicit facility_id and connect to FAC-010 by edge.</t>
  </si>
  <si>
    <t>GHG Protocol Corporate Standard</t>
  </si>
  <si>
    <t>Scope 1 reporting, separate gas reporting, biogenic CO2 treatment, and completeness context.</t>
  </si>
  <si>
    <t>2_Proposed delivered tab</t>
  </si>
  <si>
    <t>Unapproved candidates remain outside the delivered workbook.</t>
  </si>
  <si>
    <t>General Methodology Schema</t>
  </si>
  <si>
    <t>Inventory/facility/period keys, scope classification, GWP basis, BIO, period allocation, methodology, and roll-up interfaces.</t>
  </si>
  <si>
    <t>Workbook guide</t>
  </si>
  <si>
    <t>Sheet</t>
  </si>
  <si>
    <t>Purpose</t>
  </si>
  <si>
    <t>1_Schema</t>
  </si>
  <si>
    <t>Final fields, grains, methods, roles, origins, conditions, and internal lineage.</t>
  </si>
  <si>
    <t>Primary Scope 1 schema</t>
  </si>
  <si>
    <t>2_Cross_Layer_Edges</t>
  </si>
  <si>
    <t>Scope 1 ↔ General keys, classifications, parameters, roll-ups, and pending integrations.</t>
  </si>
  <si>
    <t>Cross-layer contract</t>
  </si>
  <si>
    <t>3_Flags</t>
  </si>
  <si>
    <t>Applied decisions, open limitations, deferred methods, and required external actions.</t>
  </si>
  <si>
    <t>Limitation/status record</t>
  </si>
  <si>
    <t>4_Vocab</t>
  </si>
  <si>
    <t>Schema, condition, selector, edge, mapping, and document vocabularies.</t>
  </si>
  <si>
    <t>Controlled vocabulary</t>
  </si>
  <si>
    <t>5_Output_Mapping</t>
  </si>
  <si>
    <t>Per-field normalization with Inventory_ID_From, Facility_ID_From, Reporting_Period_Ref_From, Source_ID_From, Source_Block_Value, and Method_Variant_Ref_From declared for every S1-OUT record.</t>
  </si>
  <si>
    <t>Output-interface contract</t>
  </si>
  <si>
    <t>6_Interface_Invariants</t>
  </si>
  <si>
    <t>Runtime exclusivity, completeness, routing, traceability, CEMS, unit, and scope checks.</t>
  </si>
  <si>
    <t>Runtime controls</t>
  </si>
  <si>
    <t>7_Document_Evaluation</t>
  </si>
  <si>
    <t>Final readiness conclusion, review results, and concise limitations.</t>
  </si>
  <si>
    <t>Evaluation summary</t>
  </si>
  <si>
    <t>Governing rules</t>
  </si>
  <si>
    <t>Current limitations</t>
  </si>
  <si>
    <t>Rule</t>
  </si>
  <si>
    <t>Implementation</t>
  </si>
  <si>
    <t>Priority</t>
  </si>
  <si>
    <t>Limitation</t>
  </si>
  <si>
    <t>Scope routing</t>
  </si>
  <si>
    <t>Only sources with OPB-010.scope_classification = 1 enter Scope 1 calculation and normalization.</t>
  </si>
  <si>
    <t>P0 before production validation</t>
  </si>
  <si>
    <t>General MTH-020 key, PER-020 usage_based, NF3/gas-universe alignment, approved GWP dataset, and formal GEN version remain open.</t>
  </si>
  <si>
    <t>Gross emissions</t>
  </si>
  <si>
    <t>Scope 1 outputs are physical gross, pre-consolidation values; General applies ORG-030/AGG and corporate roll-up.</t>
  </si>
  <si>
    <t>P1 method coverage</t>
  </si>
  <si>
    <t>PRC calculations, full SF6 electrical accounting, methane equipment leaks, and mixed-origin complex waste gas remain unsupported for automation.</t>
  </si>
  <si>
    <t>Condition</t>
  </si>
  <si>
    <t>Blank means always. Every referenced field must be declared and joinable at the condition's grain.</t>
  </si>
  <si>
    <t>P1 vocabulary</t>
  </si>
  <si>
    <t>Industrial-gas purchase/use, allocation, identifier, and gas-density evidence still need approved canonical vocabulary treatment.</t>
  </si>
  <si>
    <t>Derived_From</t>
  </si>
  <si>
    <t>Scope 1 internal recompute lineage only. Cross-layer relationships belong only in 2_Cross_Layer_Edges.</t>
  </si>
  <si>
    <t>P2 integration</t>
  </si>
  <si>
    <t>Scope 2 has not yet migrated to the same final shared-key, edge, and normalized-output contract.</t>
  </si>
  <si>
    <t>Computed output</t>
  </si>
  <si>
    <t>Stores the company's reported result with Value_Origin = extracted; the system recomputes it for verification.</t>
  </si>
  <si>
    <t>Mobile methods</t>
  </si>
  <si>
    <t>Every asset-period has one selected CO2 method and one simultaneous selected CH4/N2O method.</t>
  </si>
  <si>
    <t>S1-OUT</t>
  </si>
  <si>
    <t>One source × gas interface with explicit inventory, facility, period, source, block, and method references.</t>
  </si>
  <si>
    <t>Units</t>
  </si>
  <si>
    <t>Named-gas quantities must already be metric_tonne before S1-OUT; normalization performs no conversion.</t>
  </si>
  <si>
    <t>Biogenic CO2</t>
  </si>
  <si>
    <t>Routes to BIO-010 and never enters Scope 1 CO2e; biomass CH4/N2O remain within Scope 1.</t>
  </si>
  <si>
    <t>Change discipline</t>
  </si>
  <si>
    <t>After any future edit, rerun the schema, grain, role/origin, condition, lineage, source-citation, mapping, edge, vocabulary, and invariant checks. The lint results in 7_Document_Evaluation apply to this exact workbook version and are not self-updating parsers.</t>
  </si>
  <si>
    <t>Field_ID</t>
  </si>
  <si>
    <t>Block</t>
  </si>
  <si>
    <t>Grain</t>
  </si>
  <si>
    <t>Source_Category</t>
  </si>
  <si>
    <t>Calculation_Method</t>
  </si>
  <si>
    <t>Emission_Source</t>
  </si>
  <si>
    <t>Gas_Applicability</t>
  </si>
  <si>
    <t>Data_Schema_Field(s)</t>
  </si>
  <si>
    <t>Calculation_Role</t>
  </si>
  <si>
    <t>Value_Origin</t>
  </si>
  <si>
    <t>Requirement_Level</t>
  </si>
  <si>
    <t>Anchor_Type</t>
  </si>
  <si>
    <t>Definition_Purpose</t>
  </si>
  <si>
    <t>Vocabulary_Reference</t>
  </si>
  <si>
    <t>Source_Citation</t>
  </si>
  <si>
    <t>Node_ID</t>
  </si>
  <si>
    <t>Notes_Flags</t>
  </si>
  <si>
    <t>S1-STC-010</t>
  </si>
  <si>
    <t>STC</t>
  </si>
  <si>
    <t>fuel_record</t>
  </si>
  <si>
    <t>fuel_based</t>
  </si>
  <si>
    <t>stationary combustion equipment (generic)</t>
  </si>
  <si>
    <t>CO2; CH4; N2O</t>
  </si>
  <si>
    <t>fuel_type; quantity_combusted; quantity_unit</t>
  </si>
  <si>
    <t>activity_data</t>
  </si>
  <si>
    <t>extracted</t>
  </si>
  <si>
    <t>Core</t>
  </si>
  <si>
    <t>selected_calculation_method IN ('fuel_based_hhv','fuel_based_default','fuel_based_carbon_content')</t>
  </si>
  <si>
    <t>normative</t>
  </si>
  <si>
    <t>Captures the actual fuel burned by fuel type and physical quantity. It is the primary activity input for fuel-based stationary-combustion calculations.</t>
  </si>
  <si>
    <t>CT-S1-FUELQTY</t>
  </si>
  <si>
    <t>U.S. EPA, Direct Emissions from Stationary Combustion Sources (Dec. 2023), §2.2, p. 5; §3.1, p. 8.</t>
  </si>
  <si>
    <t>S1-STC-110</t>
  </si>
  <si>
    <t>Fuel combusted—not merely fuel purchased. Common input to the applicable fuel-based variant.</t>
  </si>
  <si>
    <t>S1-STC-020</t>
  </si>
  <si>
    <t>fuel_property_record</t>
  </si>
  <si>
    <t>fuel_based_hhv</t>
  </si>
  <si>
    <t>stationary combustion equipment with actual heat content or energy-unit fuel data</t>
  </si>
  <si>
    <t>hhv_value; hhv_unit; hhv_source; sampling_frequency</t>
  </si>
  <si>
    <t>fuel_property</t>
  </si>
  <si>
    <t>(selected_calculation_method = 'fuel_based_hhv') OR (selected_calculation_method = 'cems' AND selected_cems_nonco2_method = 'fuel_based_hhv') OR (selected_calculation_method = 'fuel_based_carbon_content' AND selected_carbon_content_route = 'standard_fuel' AND selected_carbon_content_nonco2_method = 'fuel_based_hhv') OR (selected_calculation_method = 'fuel_based_carbon_content' AND selected_carbon_content_route = 'complex_waste_gas' AND selected_carbon_content_nonco2_method = 'fuel_based_hhv')</t>
  </si>
  <si>
    <t>Captures the higher heating value used to convert physical fuel quantity to energy or to validate energy-unit activity data.</t>
  </si>
  <si>
    <t>CT-S1-FUELPROP</t>
  </si>
  <si>
    <t>U.S. EPA, Direct Emissions from Stationary Combustion Sources (Dec. 2023), §2.2, p. 5; §3.3, p. 10.</t>
  </si>
  <si>
    <t>Use when actual heat content is known or fuel use is provided in energy units.</t>
  </si>
  <si>
    <t>S1-STC-030</t>
  </si>
  <si>
    <t>emission_factor_set</t>
  </si>
  <si>
    <t>emission_factor_co2; emission_factor_ch4; emission_factor_n2o; ef_source; ef_vintage; ef_unit</t>
  </si>
  <si>
    <t>emission_factor</t>
  </si>
  <si>
    <t>Stores emission factors expressed per unit of fuel energy. These factors are paired with actual HHV or energy-unit fuel consumption.</t>
  </si>
  <si>
    <t>CT-S1-EFREF</t>
  </si>
  <si>
    <t>U.S. EPA, Direct Emissions from Stationary Combustion Sources (Dec. 2023), §2.2, p. 5; §3.4, p. 11.</t>
  </si>
  <si>
    <t>S1-STC-530</t>
  </si>
  <si>
    <t>Equation 2 path; preferred over default mass/volume factors when HHV is available. Per-factor values and factor-level provenance remain in Scope 1 because the factor-set grain is finer than General MTH-020's source-category grain. mth_020_ref links the factor set to the General methodology source once General exposes a stable MTH-020 key.</t>
  </si>
  <si>
    <t>S1-STC-040</t>
  </si>
  <si>
    <t>equipment_x_reporting_period</t>
  </si>
  <si>
    <t>emissions_co2; emissions_ch4; emissions_n2o; emissions_co2e; gas_emissions_unit; co2e_unit</t>
  </si>
  <si>
    <t>computed_output</t>
  </si>
  <si>
    <t>(selected_calculation_method = 'fuel_based_hhv') AND fuel_biogenic_fraction = 0</t>
  </si>
  <si>
    <t>Stores the company-reported CO2, CH4, N2O, and CO2e results for the stationary HHV method.</t>
  </si>
  <si>
    <t>CT-GHG-WORKBOOK</t>
  </si>
  <si>
    <t>U.S. EPA, Direct Emissions from Stationary Combustion Sources (Dec. 2023), §2.2, p. 5.</t>
  </si>
  <si>
    <t>S1-STC-020; S1-STC-030; S1-STC-310</t>
  </si>
  <si>
    <t>Formula path: selected fuel × HHV × factor, or energy-unit fuel × factor. For biomass or blended fuels, use S1-STC-330 instead. Non-biogenic path only; biogenic or blended fuel routes through S1-STC-330/340/350. gas_emissions_unit records the unit for named-gas quantities; co2e_unit records the unit for any reported CO2e field. S1-OUT accepts the gas quantity only when gas_emissions_unit = 'metric_tonne'. Reported-value convention: the stored result is extracted; Derived_From identifies the independent recompute lineage.</t>
  </si>
  <si>
    <t>S1-STC-050</t>
  </si>
  <si>
    <t>equipment_x_measurement_interval</t>
  </si>
  <si>
    <t>cems</t>
  </si>
  <si>
    <t>CEMS-equipped stationary combustion source</t>
  </si>
  <si>
    <t>CO2</t>
  </si>
  <si>
    <t>measurement_timestamp; co2_concentration; co2_concentration_unit; o2_concentration; o2_concentration_unit; flue_gas_flow_rate; flue_gas_flow_unit; operating_time; operating_time_unit</t>
  </si>
  <si>
    <t>selected_calculation_method = 'cems'</t>
  </si>
  <si>
    <t>Captures the concentration, volumetric-flow, and operating-time data used by the applicable CEMS approach to determine CO2 mass emissions.</t>
  </si>
  <si>
    <t>CT-S1-DIRMON</t>
  </si>
  <si>
    <t>U.S. EPA, Direct Emissions from Stationary Combustion Sources (Dec. 2023), §2.1, p. 3.</t>
  </si>
  <si>
    <t>S1-STC-400; S1-STC-470</t>
  </si>
  <si>
    <t>The applicable CEMS implementation may use CO2 concentration or O2 concentration with theoretical flue-gas production. monitor_id and equipment linkage are held in S1-STC-400.</t>
  </si>
  <si>
    <t>S1-STC-060</t>
  </si>
  <si>
    <t>annual_emissions_co2; gas_emissions_unit</t>
  </si>
  <si>
    <t>Stores the company-reported annual CEMS CO2 result for the monitored stationary source.</t>
  </si>
  <si>
    <t>S1-STC-410</t>
  </si>
  <si>
    <t>Reported-value convention: the stored result is extracted; S1-STC-410 defines the independent hourly recompute and annual aggregation lineage. gas_emissions_unit must be metric_tonne before S1-OUT.</t>
  </si>
  <si>
    <t>S1-STC-070</t>
  </si>
  <si>
    <t>CEMS-equipped stationary combustion source and uncovered combustion equipment</t>
  </si>
  <si>
    <t>CH4; N2O</t>
  </si>
  <si>
    <t>cems_fuel_type; cems_fuel_quantity; cems_fuel_quantity_unit</t>
  </si>
  <si>
    <t>Recommended</t>
  </si>
  <si>
    <t>Captures the fuel quantity used to calculate CH4 and N2O for a CEMS-equipped stationary source, because the CEMS directly determines CO2 only.</t>
  </si>
  <si>
    <t>U.S. EPA, Direct Emissions from Stationary Combustion Sources (Dec. 2023), §2.1, pp. 3–4.</t>
  </si>
  <si>
    <t>S1-STC-430</t>
  </si>
  <si>
    <t>CEMS cannot calculate CH4 or N2O. This record supplies the fuel activity for the separately selected HHV or default-factor non-CO2 path. Unmonitored combustion equipment remains a separate source.</t>
  </si>
  <si>
    <t>S1-STC-080</t>
  </si>
  <si>
    <t>fuel_inventory_adjustment</t>
  </si>
  <si>
    <t>stationary combustion equipment using purchase or storage data</t>
  </si>
  <si>
    <t>quantity_purchased; inventory_opening; inventory_closing; quantity_feedstock; quantity_spilled; quantity_fugitive_loss; quantity_unit</t>
  </si>
  <si>
    <t>evidence_input</t>
  </si>
  <si>
    <t>selected_activity_quantity_route = 'fuel_inventory_adjustment'</t>
  </si>
  <si>
    <t>Captures the purchase, stock-change, feedstock, spill, and fugitive-loss inputs needed to reconcile purchased fuel to fuel actually combusted.</t>
  </si>
  <si>
    <t>U.S. EPA, Direct Emissions from Stationary Combustion Sources (Dec. 2023), §3.1, pp. 8–9.</t>
  </si>
  <si>
    <t>Apply only when purchase records or storage data are used instead of direct combustion measurement. See FLAG-005.</t>
  </si>
  <si>
    <t>S1-STC-090</t>
  </si>
  <si>
    <t>adjusted_quantity_combusted</t>
  </si>
  <si>
    <t>computed_intermediate</t>
  </si>
  <si>
    <t>computed</t>
  </si>
  <si>
    <t>Derives fuel actually combusted after inventory changes and non-combustion uses or losses are removed. This intermediate feeds the selected fuel-based emissions equation.</t>
  </si>
  <si>
    <t>Conceptual logic: purchases + opening inventory − closing inventory − feedstock − spills − fugitive losses.</t>
  </si>
  <si>
    <t>S1-STC-100</t>
  </si>
  <si>
    <t>equipment</t>
  </si>
  <si>
    <t>—</t>
  </si>
  <si>
    <t>stationary combustion equipment register</t>
  </si>
  <si>
    <t>equipment_id; inventory_id; facility_id</t>
  </si>
  <si>
    <t>identifier</t>
  </si>
  <si>
    <t>assigned</t>
  </si>
  <si>
    <t>evidence-derived</t>
  </si>
  <si>
    <t>Provides the assigned primary identifier(s) for the stationary combustion equipment register.</t>
  </si>
  <si>
    <t>CT-GHG-FACSRCLIST</t>
  </si>
  <si>
    <t>Primary-key row. Descriptive attributes are separated into a companion row at the same grain. inventory_id is an explicit FK to General INV-010; no shared wrapper or auto-inheritance is assumed. facility_id is the explicit canonical FK to General FAC-010; location remains a descriptive attribute.</t>
  </si>
  <si>
    <t>stationary fuel-flow record register</t>
  </si>
  <si>
    <t>fuel_type; transaction_or_read_date; quantity; quantity_unit</t>
  </si>
  <si>
    <t>Preserves the raw purchase, delivery, meter, or storage record used to support stationary fuel quantity.</t>
  </si>
  <si>
    <t>Register/evidence row; no normative citation by design. Assigned identifiers and document references are separated into S1-STC-430.</t>
  </si>
  <si>
    <t>S1-STC-120</t>
  </si>
  <si>
    <t>instrument</t>
  </si>
  <si>
    <t>stationary measurement and monitoring instrument register</t>
  </si>
  <si>
    <t>instrument_type; calibration_date; calibration_result; calibration_status</t>
  </si>
  <si>
    <t>Links meters, weighbridges, and emissions monitors to their calibration evidence and status.</t>
  </si>
  <si>
    <t>CT-S1-MEASCAL</t>
  </si>
  <si>
    <t>S1-STC-440</t>
  </si>
  <si>
    <t>Supports measurement reliability without duplicating General-layer QA policy. Assigned identifiers and document references are separated into S1-STC-440.</t>
  </si>
  <si>
    <t>S1-STC-130</t>
  </si>
  <si>
    <t>calculation_record</t>
  </si>
  <si>
    <t>stationary-combustion calculation record</t>
  </si>
  <si>
    <t>measurement_basis; estimate_flag; estimate_basis; adjustment_method; cems_coverage_gap_flag</t>
  </si>
  <si>
    <t>verifier_determined</t>
  </si>
  <si>
    <t>Preserves system-level routing and provenance metadata for a stationary-combustion calculation. These fields support reproducibility but are not represented as requirements of the EPA calculation guidance.</t>
  </si>
  <si>
    <t>CT-S1-METHODDOC</t>
  </si>
  <si>
    <t>S1-STC-450</t>
  </si>
  <si>
    <t>Evidence-derived engineering metadata; intentionally separated from normative method inputs. Assigned identifiers and document references are separated into S1-STC-450.</t>
  </si>
  <si>
    <t>S1-STC-140</t>
  </si>
  <si>
    <t>stationary-combustion documented method claim</t>
  </si>
  <si>
    <t>method_variant</t>
  </si>
  <si>
    <t>Stores the calculation method stated in the company workbook or methodology documentation.</t>
  </si>
  <si>
    <t>Documented company claim. The executable selector S1-STC-480 is independently derived and checked against this value. Core documented method claim required by the S1-OUT method-trace invariant.</t>
  </si>
  <si>
    <t>S1-STC-200</t>
  </si>
  <si>
    <t>fuel_based_default</t>
  </si>
  <si>
    <t>stationary combustion equipment using default mass/volume factors</t>
  </si>
  <si>
    <t>(selected_calculation_method = 'fuel_based_default') OR (selected_calculation_method = 'cems' AND selected_cems_nonco2_method = 'fuel_based_default') OR (selected_calculation_method = 'fuel_based_carbon_content' AND selected_carbon_content_route = 'standard_fuel' AND selected_carbon_content_nonco2_method = 'fuel_based_default') OR (selected_calculation_method = 'fuel_based_carbon_content' AND selected_carbon_content_route = 'complex_waste_gas' AND selected_carbon_content_nonco2_method = 'fuel_based_default')</t>
  </si>
  <si>
    <t>Stores the default emission factors applied per unit of fuel mass or volume. Factor provenance and vintage make the calculation reproducible.</t>
  </si>
  <si>
    <t>U.S. EPA, Direct Emissions from Stationary Combustion Sources (Dec. 2023), §2.2, p. 4; §3.4, p. 11.</t>
  </si>
  <si>
    <t>Equation 1 path. The guidance identifies this as the least-preferred fuel-analysis variant. Per-factor values and factor-level provenance remain in Scope 1 because the factor-set grain is finer than General MTH-020's source-category grain. mth_020_ref links the factor set to the General methodology source once General exposes a stable MTH-020 key.</t>
  </si>
  <si>
    <t>S1-STC-210</t>
  </si>
  <si>
    <t>(selected_calculation_method = 'fuel_based_default') AND fuel_biogenic_fraction = 0</t>
  </si>
  <si>
    <t>Stores the company-reported CO2, CH4, N2O, and CO2e results for the stationary default-factor method.</t>
  </si>
  <si>
    <t>U.S. EPA, Direct Emissions from Stationary Combustion Sources (Dec. 2023), §2.2, pp. 4–5.</t>
  </si>
  <si>
    <t>S1-STC-200; S1-STC-310</t>
  </si>
  <si>
    <t>Formula path: selected fuel × factor. For biomass or blended fuels, use S1-STC-340 instead. Non-biogenic path only; biogenic or blended fuel routes through S1-STC-330/340/350. gas_emissions_unit records the unit for named-gas quantities; co2e_unit records the unit for any reported CO2e field. S1-OUT accepts the gas quantity only when gas_emissions_unit = 'metric_tonne'. Reported-value convention: the stored result is extracted; Derived_From identifies the independent recompute lineage.</t>
  </si>
  <si>
    <t>S1-STC-220</t>
  </si>
  <si>
    <t>activity_estimation</t>
  </si>
  <si>
    <t>emergency generator or other infrequently used stationary equipment</t>
  </si>
  <si>
    <t>operating_hours; hourly_fuel_consumption_rate; rate_unit</t>
  </si>
  <si>
    <t>selected_activity_quantity_route = 'activity_estimation'</t>
  </si>
  <si>
    <t>Captures operating time and the equipment fuel-consumption rate when direct fuel measurement or purchase allocation is impractical.</t>
  </si>
  <si>
    <t>CT-S1-ONSGEN</t>
  </si>
  <si>
    <t>U.S. EPA, Direct Emissions from Stationary Combustion Sources (Dec. 2023), §3.1, p. 9.</t>
  </si>
  <si>
    <t>Use only for an insignificant source when direct or purchase data are impractical. See FLAG-006.</t>
  </si>
  <si>
    <t>S1-STC-230</t>
  </si>
  <si>
    <t>estimated_quantity_combusted</t>
  </si>
  <si>
    <t>Estimates fuel consumed from operating hours and the hourly fuel-consumption rate. The result feeds the applicable fuel-based emissions method.</t>
  </si>
  <si>
    <t>See the corresponding evidence-derived calculation metadata row for estimate status and basis.</t>
  </si>
  <si>
    <t>S1-STC-240</t>
  </si>
  <si>
    <t>fuel_based_carbon_content</t>
  </si>
  <si>
    <t>stationary combustion equipment with actual fuel carbon content</t>
  </si>
  <si>
    <t>carbon_content_value; carbon_content_unit; carbon_content_source; sampling_frequency</t>
  </si>
  <si>
    <t>selected_calculation_method = 'fuel_based_carbon_content' AND selected_carbon_content_route = 'standard_fuel'</t>
  </si>
  <si>
    <t>Captures actual fuel carbon content for the direct carbon-content CO2 calculation.</t>
  </si>
  <si>
    <t>Equation 3 applies only when actual carbon content is available and fuel quantity is compatible with the carbon-content unit.</t>
  </si>
  <si>
    <t>S1-STC-250</t>
  </si>
  <si>
    <t>emissions_co2; gas_emissions_unit</t>
  </si>
  <si>
    <t>selected_calculation_method = 'fuel_based_carbon_content' AND selected_carbon_content_route = 'standard_fuel' AND fuel_biogenic_fraction = 0</t>
  </si>
  <si>
    <t>Stores the company-reported CO2 result for the fossil-only standard-fuel carbon-content route.</t>
  </si>
  <si>
    <t>S1-STC-240; S1-STC-310</t>
  </si>
  <si>
    <t>Formula path: selected fuel × carbon content × 44/12. For biomass or blended fuels, use S1-STC-350 instead. Non-biogenic path only; biogenic or blended fuel routes through S1-STC-330/340/350. gas_emissions_unit records the unit for named-gas quantities; co2e_unit records the unit for any reported CO2e field. S1-OUT accepts the gas quantity only when gas_emissions_unit = 'metric_tonne'. Reported-value convention: the stored result is extracted; Derived_From identifies the independent recompute lineage.</t>
  </si>
  <si>
    <t>S1-STC-260</t>
  </si>
  <si>
    <t>emission_factor_ch4; emission_factor_n2o; ef_source; ef_vintage; ef_unit</t>
  </si>
  <si>
    <t>Optional</t>
  </si>
  <si>
    <t>Deprecated legacy carbon-content non-CO2 factor row retained only to preserve the immutable Field_ID.</t>
  </si>
  <si>
    <t>DEPRECATED — do not populate in new implementations. Use S1-STC-030 or S1-STC-200 according to S1-STC-480.selected_carbon_content_nonco2_method. The ID must never be reused.</t>
  </si>
  <si>
    <t>S1-STC-270</t>
  </si>
  <si>
    <t>emissions_ch4; emissions_n2o; emissions_co2e_nonco2; gas_emissions_unit; co2e_unit</t>
  </si>
  <si>
    <t>Stores the company-reported CH4, N2O, and non-CO2 CO2e results for the fossil-only standard-fuel carbon-content route.</t>
  </si>
  <si>
    <t>S1-STC-020; S1-STC-030; S1-STC-200; S1-STC-310; S1-STC-480</t>
  </si>
  <si>
    <t>Independent recompute uses exactly one factor family selected by S1-STC-480.selected_carbon_content_nonco2_method. The CO2 result is S1-STC-250. gas_emissions_unit must be metric_tonne before S1-OUT; co2e_unit applies only to emissions_co2e_nonco2.</t>
  </si>
  <si>
    <t>S1-STC-280</t>
  </si>
  <si>
    <t>waste_gas_stream_x_component_x_reporting_period</t>
  </si>
  <si>
    <t>flare or thermal oxidizer combusting a complex waste-gas stream</t>
  </si>
  <si>
    <t>gas_component; mole_fraction; molecular_weight; carbon_fraction; molar_conversion_factor; gas_temperature; gas_pressure</t>
  </si>
  <si>
    <t>selected_calculation_method = 'fuel_based_carbon_content' AND selected_carbon_content_route = 'complex_waste_gas' AND waste_gas_composition_available = true</t>
  </si>
  <si>
    <t>Captures component-level composition and gas-condition inputs used to derive a carbon-based factor for a complex waste-gas stream.</t>
  </si>
  <si>
    <t>U.S. EPA, Direct Emissions from Stationary Combustion Sources (Dec. 2023), §3.4, p. 11.</t>
  </si>
  <si>
    <t>S1-STC-510; S1-STC-520</t>
  </si>
  <si>
    <t>Use only when a standard factor is not suitable and stream composition is available.</t>
  </si>
  <si>
    <t>S1-STC-290</t>
  </si>
  <si>
    <t>waste_gas_stream_x_reporting_period</t>
  </si>
  <si>
    <t>waste_gas_carbon_factor; factor_unit</t>
  </si>
  <si>
    <t>Derives the carbon mass per unit volume of waste gas for use in the carbon-content CO2 equation.</t>
  </si>
  <si>
    <t>U.S. EPA, Direct Emissions from Stationary Combustion Sources (Dec. 2023), §3.4, pp. 11–12.</t>
  </si>
  <si>
    <t>S1-STC-300</t>
  </si>
  <si>
    <t>biomass, biofuel, or mixed waste-derived fuel in a stationary source</t>
  </si>
  <si>
    <t>fuel_biogenic_fraction; fuel_fossil_fraction</t>
  </si>
  <si>
    <t>fuel_biogenic_fraction &gt; 0</t>
  </si>
  <si>
    <t>Captures fossil and biogenic fuel fractions so fossil CO2 and separately reported biogenic CO2 can be calculated without changing CH4 and N2O treatment.</t>
  </si>
  <si>
    <t>U.S. EPA, Direct Emissions from Stationary Combustion Sources (Dec. 2023), §§1.2–1.3, p. 2.</t>
  </si>
  <si>
    <t>Feeds S1-STC-320 and the method-specific biofuel outputs S1-STC-330 through S1-STC-350. Biogenic CO2 is passed to General-layer BIO-010 and excluded from Scope 1 CO2e.</t>
  </si>
  <si>
    <t>S1-STC-310</t>
  </si>
  <si>
    <t>stationary-combustion calculation input selector</t>
  </si>
  <si>
    <t>selected_quantity_combusted; selected_quantity_unit; selected_quantity_basis</t>
  </si>
  <si>
    <t>Normalizes the mutually exclusive direct, adjusted, or estimated stationary-fuel quantity routes into one selected calculation input. It prevents downstream formulas from treating alternative activity inputs as simultaneously required.</t>
  </si>
  <si>
    <t>S1-STC-010; S1-STC-090; S1-STC-230; S1-STC-500</t>
  </si>
  <si>
    <t>ONE-OF dependency: select exactly one upstream quantity route for each source and calculation period. See FLAG-016. The selected upstream Field_ID is stored separately in S1-STC-460.</t>
  </si>
  <si>
    <t>S1-STC-320</t>
  </si>
  <si>
    <t>fossil_fuel_quantity; biogenic_fuel_quantity</t>
  </si>
  <si>
    <t>Splits the selected stationary-fuel quantity into fossil and biogenic components so direct fossil CO2 and separately reported biogenic CO2 can be calculated independently.</t>
  </si>
  <si>
    <t>U.S. EPA, Direct Emissions from Stationary Combustion Sources (Dec. 2023), §§1.2–1.3, p. 2; §2.2, pp. 4–5.</t>
  </si>
  <si>
    <t>S1-STC-300; S1-STC-310</t>
  </si>
  <si>
    <t>Required only for biomass, biofuel, or mixed fossil/biogenic fuels.</t>
  </si>
  <si>
    <t>S1-STC-330</t>
  </si>
  <si>
    <t>stationary source combusting biomass, biofuel, or blended fuel using the HHV method</t>
  </si>
  <si>
    <t>emissions_co2_fossil; emissions_co2_biogenic; emissions_ch4; emissions_n2o; emissions_co2e_scope1; gas_emissions_unit; co2e_unit</t>
  </si>
  <si>
    <t>fuel_biogenic_fraction &gt; 0 AND selected_calculation_method = 'fuel_based_hhv'</t>
  </si>
  <si>
    <t>Stores the company-reported fossil CO2, biogenic CO2, CH4, N2O, and Scope 1 CO2e results for the stationary HHV biofuel route.</t>
  </si>
  <si>
    <t>U.S. EPA, Direct Emissions from Stationary Combustion Sources (Dec. 2023), §§1.2–1.3, p. 2; §2.2, p. 5.</t>
  </si>
  <si>
    <t>S1-STC-020; S1-STC-030; S1-STC-320</t>
  </si>
  <si>
    <t>Use instead of S1-STC-040 for biomass or blended fuels. Only emissions_co2_fossil and non-CO2 gases feed Scope 1; emissions_co2_biogenic feeds General-layer BIO-010. gas_emissions_unit records the unit for named-gas quantities; co2e_unit records the unit for any reported CO2e field. S1-OUT accepts the gas quantity only when gas_emissions_unit = 'metric_tonne'. Reported-value convention: the stored result is extracted; Derived_From identifies the independent recompute lineage.</t>
  </si>
  <si>
    <t>S1-STC-340</t>
  </si>
  <si>
    <t>stationary source combusting biomass, biofuel, or blended fuel using default mass/volume factors</t>
  </si>
  <si>
    <t>fuel_biogenic_fraction &gt; 0 AND selected_calculation_method = 'fuel_based_default'</t>
  </si>
  <si>
    <t>Stores the company-reported fossil CO2, biogenic CO2, CH4, N2O, and Scope 1 CO2e results for the stationary default-factor biofuel route.</t>
  </si>
  <si>
    <t>S1-STC-200; S1-STC-320</t>
  </si>
  <si>
    <t>Use instead of S1-STC-210 for biomass or blended fuels. Only emissions_co2_fossil and non-CO2 gases feed Scope 1; emissions_co2_biogenic feeds General-layer BIO-010. gas_emissions_unit records the unit for named-gas quantities; co2e_unit records the unit for any reported CO2e field. S1-OUT accepts the gas quantity only when gas_emissions_unit = 'metric_tonne'. Reported-value convention: the stored result is extracted; Derived_From identifies the independent recompute lineage.</t>
  </si>
  <si>
    <t>S1-STC-350</t>
  </si>
  <si>
    <t>stationary source combusting biomass, biofuel, or blended fuel using actual carbon content</t>
  </si>
  <si>
    <t>selected_calculation_method = 'fuel_based_carbon_content' AND selected_carbon_content_route = 'standard_fuel' AND fuel_biogenic_fraction &gt; 0</t>
  </si>
  <si>
    <t>Stores the company-reported fossil CO2, biogenic CO2, CH4, N2O, and Scope 1 CO2e results for the standard-fuel carbon-content biofuel route.</t>
  </si>
  <si>
    <t>S1-STC-020; S1-STC-030; S1-STC-200; S1-STC-240; S1-STC-320; S1-STC-480</t>
  </si>
  <si>
    <t>Use instead of S1-STC-250 and S1-STC-270 for biomass or blended standard fuels. CH4/N2O use exactly one factor family selected by S1-STC-480.selected_carbon_content_nonco2_method. Biogenic CO2 routes to BIO-010. gas_emissions_unit must be metric_tonne before S1-OUT.</t>
  </si>
  <si>
    <t>S1-STC-360</t>
  </si>
  <si>
    <t>Stores the company-reported CO2 result for the complex waste-gas route after applying the derived stream carbon factor to the reported waste-gas quantity.</t>
  </si>
  <si>
    <t>S1-STC-290; S1-STC-310</t>
  </si>
  <si>
    <t>Reported-value convention: the stored result is extracted; S1-STC-290 and the selected waste-gas quantity define the independent recompute lineage. This automated route is fossil-only. Mixed fossil/biogenic carbon requires manual review under FLAG-038. gas_emissions_unit must be metric_tonne before S1-OUT.</t>
  </si>
  <si>
    <t>S1-STC-370</t>
  </si>
  <si>
    <t>complex waste-gas combustion stream</t>
  </si>
  <si>
    <t>Stores the company-reported CH4, N2O, and non-CO2 CO2e results for a complex waste-gas stream.</t>
  </si>
  <si>
    <t>U.S. EPA, Direct Emissions from Stationary Combustion Sources (Dec. 2023), §2.2, p. 5; §3.4, pp. 11–12.</t>
  </si>
  <si>
    <t>S1-STC-020; S1-STC-030; S1-STC-200; S1-STC-290; S1-STC-310; S1-STC-480</t>
  </si>
  <si>
    <t>The waste-gas CO2 result is S1-STC-360. CH4/N2O use exactly one HHV/default factor family selected by S1-STC-480.selected_carbon_content_nonco2_method. Mixed fossil/biogenic waste gas remains manual under FLAG-038. gas_emissions_unit must be metric_tonne before S1-OUT.</t>
  </si>
  <si>
    <t>S1-STC-400</t>
  </si>
  <si>
    <t>CEMS measurement stream</t>
  </si>
  <si>
    <t>monitor_id; equipment_id; inventory_id</t>
  </si>
  <si>
    <t>Provides the assigned monitor and stationary-equipment identifiers for each CEMS measurement stream.</t>
  </si>
  <si>
    <t>Identifier row at instrument grain. inventory_id is an explicit FK to General INV-010; no shared wrapper or auto-inheritance is assumed.</t>
  </si>
  <si>
    <t>hourly_emissions_co2; hourly_emissions_co2_unit</t>
  </si>
  <si>
    <t>Re-derives hourly CO2 emissions from the CEMS measurement record before aggregation to the annual reported result.</t>
  </si>
  <si>
    <t>System recompute only; the company-reported annual output remains S1-STC-060. hourly_emissions_co2_unit must be consistent across the interval records aggregated to S1-STC-060.</t>
  </si>
  <si>
    <t>S1-STC-420</t>
  </si>
  <si>
    <t>equipment_type; source_name; fuel_type; rated_capacity; capacity_unit; location; operating_status</t>
  </si>
  <si>
    <t>Stores the document-carried descriptive attributes of each stationary-combustion source.</t>
  </si>
  <si>
    <t>Companion attributes for the S1-STC-100 equipment identifier.</t>
  </si>
  <si>
    <t>stationary fuel-flow record</t>
  </si>
  <si>
    <t>record_id; equipment_id; source_document_id; meter_or_tank_id; inventory_id; reporting_period_ref</t>
  </si>
  <si>
    <t>Provides the assigned identifiers and equipment/document links for each stationary fuel-flow record.</t>
  </si>
  <si>
    <t>Identifier row at fuel_record grain. inventory_id is an explicit FK to General INV-010; no shared wrapper or auto-inheritance is assumed. reporting_period_ref is an explicit FK to General PER-010.</t>
  </si>
  <si>
    <t>stationary measurement instrument</t>
  </si>
  <si>
    <t>instrument_id; equipment_id; certificate_id; inventory_id</t>
  </si>
  <si>
    <t>Provides the assigned instrument, equipment, and certificate identifiers for calibration evidence.</t>
  </si>
  <si>
    <t>calculation_record_id; source_document_id; inventory_id; equipment_id; reporting_period_ref; source_id; source_grain</t>
  </si>
  <si>
    <t>Provides the assigned calculation-record and supporting-document identifiers.</t>
  </si>
  <si>
    <t>Identifier row at calculation_record grain. inventory_id is an explicit FK to General INV-010; no shared wrapper or auto-inheritance is assumed. equipment_id and reporting_period_ref join the calculation record to the equipment-period calculation it documents. Core because every normalized stationary output must resolve method_variant_ref to a calculation record. source_id/source_grain equals equipment_id/equipment for ordinary stationary sources and waste_gas_stream_id/waste_gas_stream_x_reporting_period for the complex waste-gas route.</t>
  </si>
  <si>
    <t>S1-STC-460</t>
  </si>
  <si>
    <t>selected_input_field_id</t>
  </si>
  <si>
    <t>Stores the assigned Field_ID of the direct, adjusted, or estimated quantity selected for the calculation instance.</t>
  </si>
  <si>
    <t>ONE-OF selector provenance.</t>
  </si>
  <si>
    <t>S1-STC-470</t>
  </si>
  <si>
    <t>CEMS measurement record</t>
  </si>
  <si>
    <t>measurement_record_id; inventory_id; reporting_period_ref; monitor_id; equipment_id; source_document_id</t>
  </si>
  <si>
    <t>Provides the assigned measurement-record, monitor, equipment, source-document, inventory, and reporting-period references for each CEMS interval record.</t>
  </si>
  <si>
    <t>The measurement record is joinable to S1-STC-400.monitor_id and S1-STC-100.equipment_id. inventory_id and reporting_period_ref are explicit General foreign keys.</t>
  </si>
  <si>
    <t>S1-STC-480</t>
  </si>
  <si>
    <t>stationary-combustion method selector</t>
  </si>
  <si>
    <t>selected_calculation_method; selected_method_basis; selected_cems_nonco2_method; selected_carbon_content_route; selected_carbon_content_nonco2_method</t>
  </si>
  <si>
    <t>Declares the executable stationary-combustion method, carbon-content subroute, and the separately selected non-CO2 factor path required for CEMS and carbon-content calculations.</t>
  </si>
  <si>
    <t>S1-STC-140; S1-STC-130</t>
  </si>
  <si>
    <t>selected_calculation_method is the executable primary route. selected_cems_nonco2_method and selected_carbon_content_nonco2_method permit only fuel_based_hhv or fuel_based_default. method_variant in S1-STC-140 remains the company's documented method claim.</t>
  </si>
  <si>
    <t>S1-STC-490</t>
  </si>
  <si>
    <t>Stores the company-reported CH4, N2O, and non-CO2 CO2e results for the supplemental fuel-factor path of a CEMS-equipped source.</t>
  </si>
  <si>
    <t>S1-STC-070; S1-STC-480; S1-STC-020; S1-STC-030; S1-STC-200</t>
  </si>
  <si>
    <t>CEMS CO2 remains S1-STC-060. CH4/N2O use exactly one HHV/default factor family selected by S1-STC-480.selected_cems_nonco2_method. The normal stationary quantity selector is not reused. gas_emissions_unit must be metric_tonne before S1-OUT.</t>
  </si>
  <si>
    <t>S1-STC-500</t>
  </si>
  <si>
    <t>stationary activity-quantity route selector</t>
  </si>
  <si>
    <t>selected_activity_quantity_route; selected_activity_route_basis</t>
  </si>
  <si>
    <t>Selects the direct, inventory-adjusted, or activity-estimated stationary fuel-quantity route at the source-period grain.</t>
  </si>
  <si>
    <t>S1-STC-130; S1-STC-110</t>
  </si>
  <si>
    <t>Permitted route values: direct | fuel_inventory_adjustment | activity_estimation.</t>
  </si>
  <si>
    <t>S1-STC-510</t>
  </si>
  <si>
    <t>complex waste-gas stream register</t>
  </si>
  <si>
    <t>waste_gas_stream_id; equipment_id; inventory_id; facility_id; reporting_period_ref</t>
  </si>
  <si>
    <t>selected_calculation_method = 'fuel_based_carbon_content' AND selected_carbon_content_route = 'complex_waste_gas'</t>
  </si>
  <si>
    <t>Provides the stable source-period key for a complex waste-gas composition route.</t>
  </si>
  <si>
    <t>Used only for the complex waste-gas carbon-content route.</t>
  </si>
  <si>
    <t>S1-STC-520</t>
  </si>
  <si>
    <t>complex waste-gas composition availability assessment</t>
  </si>
  <si>
    <t>waste_gas_composition_available; composition_availability_basis</t>
  </si>
  <si>
    <t>boundary</t>
  </si>
  <si>
    <t>Determines whether the component-level evidence is sufficient to activate the complex waste-gas calculation route.</t>
  </si>
  <si>
    <t>Condition fields in S1-STC-280/290/360 read this declared assessment rather than an undefined variable.</t>
  </si>
  <si>
    <t>stationary emission-factor set reference</t>
  </si>
  <si>
    <t>emission_factor_set_id; mth_020_ref</t>
  </si>
  <si>
    <t>Provides the factor-set key and pending reference to the General methodology-source record.</t>
  </si>
  <si>
    <t>Kept separate from extracted factor values to preserve the Value_Origin contract. Promote mth_020_ref to Core only after General exposes a stable MTH-020 record key and source-category discriminator.</t>
  </si>
  <si>
    <t>S1-MOB-010</t>
  </si>
  <si>
    <t>MOB</t>
  </si>
  <si>
    <t>owned or controlled mobile combustion source</t>
  </si>
  <si>
    <t>selected_co2_calculation_method IN ('fuel_based_hhv','fuel_based_default','fuel_based_carbon_content') OR selected_nonco2_calculation_method = 'fuel_based_nonroad'</t>
  </si>
  <si>
    <t>Captures mobile fuel burned by fuel type and physical quantity for CO2 and non-road CH4/N2O calculations.</t>
  </si>
  <si>
    <t>CT-S1-MOBFUEL</t>
  </si>
  <si>
    <t>U.S. EPA, Direct Emissions from Mobile Combustion Source (Dec. 2023), §2, p. 4; §4, p. 6.</t>
  </si>
  <si>
    <t>S1-MOB-110</t>
  </si>
  <si>
    <t>Fuel consumption is the primary activity input for CO2 and for CH4/N2O from non-road sources.</t>
  </si>
  <si>
    <t>S1-MOB-020</t>
  </si>
  <si>
    <t>mobile source with actual fuel heat content</t>
  </si>
  <si>
    <t>selected_co2_calculation_method = 'fuel_based_hhv'</t>
  </si>
  <si>
    <t>Captures actual higher heating value for the energy-based mobile CO2 calculation.</t>
  </si>
  <si>
    <t>U.S. EPA, Direct Emissions from Mobile Combustion Source (Dec. 2023), §2, p. 3; §4, pp. 8–9.</t>
  </si>
  <si>
    <t>Use when actual heat content is available.</t>
  </si>
  <si>
    <t>S1-MOB-030</t>
  </si>
  <si>
    <t>emission_factor_co2; ef_source; ef_vintage; ef_unit</t>
  </si>
  <si>
    <t>Stores the CO2 emission factor expressed per unit of fuel energy.</t>
  </si>
  <si>
    <t>U.S. EPA, Direct Emissions from Mobile Combustion Source (Dec. 2023), §2, p. 3; §4, p. 9.</t>
  </si>
  <si>
    <t>S1-MOB-480</t>
  </si>
  <si>
    <t>Equation 2 path; preferred over default mass/volume factors when HHV is known. Per-factor values and factor-level provenance remain in Scope 1 because the factor-set grain is finer than General MTH-020's source-category grain. mth_020_ref links the factor set to the General methodology source once General exposes a stable MTH-020 key.</t>
  </si>
  <si>
    <t>S1-MOB-040</t>
  </si>
  <si>
    <t>mobile_asset_x_reporting_period</t>
  </si>
  <si>
    <t>selected_co2_calculation_method = 'fuel_based_hhv' AND biogenic_fraction = 0</t>
  </si>
  <si>
    <t>Stores the company-reported CO2 result for the mobile HHV method.</t>
  </si>
  <si>
    <t>U.S. EPA, Direct Emissions from Mobile Combustion Source (Dec. 2023), §2, p. 3.</t>
  </si>
  <si>
    <t>S1-MOB-020; S1-MOB-030; S1-MOB-330</t>
  </si>
  <si>
    <t>Formula path: selected fuel × HHV × factor. For biomass or blended fuels, use S1-MOB-350 instead. Non-biogenic CO2 path only; blended or biogenic fuel routes through S1-MOB-350/360/370. gas_emissions_unit records the unit for named-gas quantities; co2e_unit records the unit for any reported CO2e field. S1-OUT accepts the gas quantity only when gas_emissions_unit = 'metric_tonne'. Reported-value convention: the stored result is extracted; Derived_From identifies the independent recompute lineage.</t>
  </si>
  <si>
    <t>S1-MOB-050</t>
  </si>
  <si>
    <t>activity_record</t>
  </si>
  <si>
    <t>distance_based_onroad</t>
  </si>
  <si>
    <t>on-road cars, trucks, and buses</t>
  </si>
  <si>
    <t>distance_traveled; distance_unit</t>
  </si>
  <si>
    <t>selected_nonco2_calculation_method = 'distance_based_onroad'</t>
  </si>
  <si>
    <t>Captures the distance travelled during the activity period for the on-road CH4 and N2O calculation. Vehicle type, model year, and fuel type are read from the mobile-asset register.</t>
  </si>
  <si>
    <t>CT-S1-TRANSACT</t>
  </si>
  <si>
    <t>U.S. EPA, Direct Emissions from Mobile Combustion Source (Dec. 2023), §3, p. 5; §4, pp. 6–7.</t>
  </si>
  <si>
    <t>S1-MOB-100; S1-MOB-120</t>
  </si>
  <si>
    <t>Use vehicle-miles or vehicle-kilometers, not passenger-distance units. See FLAG-007. vehicle_type, model_year, and fuel_type are maintained at mobile_asset grain in S1-MOB-400.</t>
  </si>
  <si>
    <t>S1-MOB-060</t>
  </si>
  <si>
    <t>emission_factor_ch4; emission_factor_n2o; ef_source; ef_vintage; ef_unit; factor_vehicle_type; factor_model_year</t>
  </si>
  <si>
    <t>Stores distance-based CH4 and N2O factors matched to vehicle type and model year.</t>
  </si>
  <si>
    <t>U.S. EPA, Direct Emissions from Mobile Combustion Source (Dec. 2023), §3, p. 5; §4, p. 9.</t>
  </si>
  <si>
    <t>Use the latest available factor vintage; the most recent model-year factor may be used for newer vehicles. Per-factor values and factor-level provenance remain in Scope 1 because the factor-set grain is finer than General MTH-020's source-category grain. mth_020_ref links the factor set to the General methodology source once General exposes a stable MTH-020 key.</t>
  </si>
  <si>
    <t>S1-MOB-070</t>
  </si>
  <si>
    <t>Stores the company-reported CH4, N2O, and non-CO2 CO2e results for the on-road distance method.</t>
  </si>
  <si>
    <t>U.S. EPA, Direct Emissions from Mobile Combustion Source (Dec. 2023), §3, p. 5.</t>
  </si>
  <si>
    <t>S1-MOB-060; S1-MOB-340</t>
  </si>
  <si>
    <t>Distance × factor. The CO2 result is produced independently by the selected CO2 method. gas_emissions_unit must be metric_tonne before S1-OUT; co2e_unit applies only to emissions_co2e_nonco2.</t>
  </si>
  <si>
    <t>S1-MOB-080</t>
  </si>
  <si>
    <t>fuel_based_nonroad</t>
  </si>
  <si>
    <t>aircraft, ships, boats, locomotives, forklifts, construction, or agricultural equipment</t>
  </si>
  <si>
    <t>emission_factor_ch4; emission_factor_n2o; ef_source; ef_vintage; ef_unit; factor_equipment_type; factor_fuel_type</t>
  </si>
  <si>
    <t>selected_nonco2_calculation_method = 'fuel_based_nonroad'</t>
  </si>
  <si>
    <t>Stores fuel-based CH4 and N2O factors for non-road mobile equipment.</t>
  </si>
  <si>
    <t>Paired with the common mobile fuel-quantity row. See FLAG-007. Per-factor values and factor-level provenance remain in Scope 1 because the factor-set grain is finer than General MTH-020's source-category grain. mth_020_ref links the factor set to the General methodology source once General exposes a stable MTH-020 key.</t>
  </si>
  <si>
    <t>S1-MOB-090</t>
  </si>
  <si>
    <t>Stores the company-reported CH4, N2O, and non-CO2 CO2e results for the non-road fuel method.</t>
  </si>
  <si>
    <t>S1-MOB-080; S1-MOB-330</t>
  </si>
  <si>
    <t>Fuel quantity × factor. The CO2 result is produced independently by the selected CO2 method. gas_emissions_unit must be metric_tonne before S1-OUT; co2e_unit applies only to emissions_co2e_nonco2.</t>
  </si>
  <si>
    <t>S1-MOB-100</t>
  </si>
  <si>
    <t>mobile_asset</t>
  </si>
  <si>
    <t>mobile asset register</t>
  </si>
  <si>
    <t>vehicle_or_equipment_id; inventory_id; facility_id</t>
  </si>
  <si>
    <t>Provides the assigned primary identifier(s) for the mobile asset register.</t>
  </si>
  <si>
    <t>CT-S1-MOBASSET</t>
  </si>
  <si>
    <t>fuel_transaction</t>
  </si>
  <si>
    <t>mobile fuel transaction register</t>
  </si>
  <si>
    <t>transaction_date; fuel_type; quantity; quantity_unit; merchant_or_supplier; fueling_location</t>
  </si>
  <si>
    <t>Preserves fuel-card, receipt, delivery, or internal issue records supporting mobile fuel quantity.</t>
  </si>
  <si>
    <t>S1-MOB-410</t>
  </si>
  <si>
    <t>Register/evidence row; no normative citation by design. Assigned identifiers and document references are separated into S1-MOB-410.</t>
  </si>
  <si>
    <t>S1-MOB-120</t>
  </si>
  <si>
    <t>mobile transport activity register</t>
  </si>
  <si>
    <t>odometer_start; odometer_end; distance_traveled; distance_unit; operating_hours; activity_period_start; activity_period_end</t>
  </si>
  <si>
    <t>Preserves odometer, telematics, trip-log, or operating-hour evidence used by distance and estimation methods.</t>
  </si>
  <si>
    <t>S1-MOB-420</t>
  </si>
  <si>
    <t>Register/evidence row; no normative citation by design. Assigned identifiers and document references are separated into S1-MOB-420.</t>
  </si>
  <si>
    <t>S1-MOB-130</t>
  </si>
  <si>
    <t>mobile-combustion calculation record</t>
  </si>
  <si>
    <t>estimate_flag; estimate_basis; estimation_direction; idling_included_flag</t>
  </si>
  <si>
    <t>Preserves system-level routing, estimation, and provenance metadata for a mobile-combustion calculation. These fields support reproducibility but are not represented as requirements of the EPA calculation guidance.</t>
  </si>
  <si>
    <t>S1-MOB-430</t>
  </si>
  <si>
    <t>Evidence-derived engineering metadata; intentionally separated from normative method inputs. Assigned identifiers and document references are separated into S1-MOB-430.</t>
  </si>
  <si>
    <t>S1-MOB-140</t>
  </si>
  <si>
    <t>mobile-combustion documented method claim</t>
  </si>
  <si>
    <t>co2_method_variant; nonco2_method_variant</t>
  </si>
  <si>
    <t>Stores the company's documented CO2 method and CH4/N2O method for the mobile-source calculation record.</t>
  </si>
  <si>
    <t>Mobile sources require two simultaneous method claims: a fuel-based CO2 method and either the on-road distance or non-road fuel method for CH4/N2O.</t>
  </si>
  <si>
    <t>S1-MOB-200</t>
  </si>
  <si>
    <t>mobile sources using purchase or shared-storage data</t>
  </si>
  <si>
    <t>quantity_purchased; inventory_opening; inventory_closing; quantity_spilled; quantity_fugitive_loss; quantity_unit</t>
  </si>
  <si>
    <t>Captures purchase, stock-change, spill, and fugitive-loss inputs needed to reconcile purchased fuel to mobile fuel actually burned.</t>
  </si>
  <si>
    <t>U.S. EPA, Direct Emissions from Mobile Combustion Source (Dec. 2023), §4, pp. 6–7.</t>
  </si>
  <si>
    <t>Apply only when purchase records or shared storage are used. See FLAG-005.</t>
  </si>
  <si>
    <t>S1-MOB-210</t>
  </si>
  <si>
    <t>Derives mobile fuel actually combusted after inventory changes and losses are reflected.</t>
  </si>
  <si>
    <t>Conceptual logic: purchases + opening inventory − closing inventory − spills − fugitive losses.</t>
  </si>
  <si>
    <t>S1-MOB-220</t>
  </si>
  <si>
    <t>mobile source using default mass/volume factors</t>
  </si>
  <si>
    <t>selected_co2_calculation_method = 'fuel_based_default'</t>
  </si>
  <si>
    <t>Stores the default CO2 factor applied per unit of mobile fuel mass or volume.</t>
  </si>
  <si>
    <t>Equation 1 path and least-preferred CO2 variant. Per-factor values and factor-level provenance remain in Scope 1 because the factor-set grain is finer than General MTH-020's source-category grain. mth_020_ref links the factor set to the General methodology source once General exposes a stable MTH-020 key.</t>
  </si>
  <si>
    <t>S1-MOB-230</t>
  </si>
  <si>
    <t>selected_co2_calculation_method = 'fuel_based_default' AND biogenic_fraction = 0</t>
  </si>
  <si>
    <t>Stores the company-reported CO2 result for the mobile default-factor method.</t>
  </si>
  <si>
    <t>U.S. EPA, Direct Emissions from Mobile Combustion Source (Dec. 2023), §2, pp. 3–4.</t>
  </si>
  <si>
    <t>S1-MOB-220; S1-MOB-330</t>
  </si>
  <si>
    <t>Formula path: selected fuel × factor. For biomass or blended fuels, use S1-MOB-360 instead. Non-biogenic CO2 path only; blended or biogenic fuel routes through S1-MOB-350/360/370. gas_emissions_unit records the unit for named-gas quantities; co2e_unit records the unit for any reported CO2e field. S1-OUT accepts the gas quantity only when gas_emissions_unit = 'metric_tonne'. Reported-value convention: the stored result is extracted; Derived_From identifies the independent recompute lineage.</t>
  </si>
  <si>
    <t>S1-MOB-240</t>
  </si>
  <si>
    <t>mobile source with actual fuel carbon content</t>
  </si>
  <si>
    <t>selected_co2_calculation_method = 'fuel_based_carbon_content'</t>
  </si>
  <si>
    <t>Captures actual fuel carbon content for the direct mobile CO2 calculation.</t>
  </si>
  <si>
    <t>U.S. EPA, Direct Emissions from Mobile Combustion Source (Dec. 2023), §2, p. 4; §4, p. 8.</t>
  </si>
  <si>
    <t>Use when actual carbon content is available and the fuel quantity is unit-compatible.</t>
  </si>
  <si>
    <t>S1-MOB-250</t>
  </si>
  <si>
    <t>selected_co2_calculation_method = 'fuel_based_carbon_content' AND biogenic_fraction = 0</t>
  </si>
  <si>
    <t>Stores the company-reported CO2 result for the mobile carbon-content method.</t>
  </si>
  <si>
    <t>U.S. EPA, Direct Emissions from Mobile Combustion Source (Dec. 2023), §2, p. 4.</t>
  </si>
  <si>
    <t>S1-MOB-240; S1-MOB-330</t>
  </si>
  <si>
    <t>Formula path: selected fuel × carbon content × 44/12. For biomass or blended fuels, use S1-MOB-370 instead. Non-biogenic CO2 path only; blended or biogenic fuel routes through S1-MOB-350/360/370. gas_emissions_unit records the unit for named-gas quantities; co2e_unit records the unit for any reported CO2e field. S1-OUT accepts the gas quantity only when gas_emissions_unit = 'metric_tonne'. Reported-value convention: the stored result is extracted; Derived_From identifies the independent recompute lineage.</t>
  </si>
  <si>
    <t>S1-MOB-260</t>
  </si>
  <si>
    <t>on-road vehicle with missing fuel-use or distance data</t>
  </si>
  <si>
    <t>fuel_economy_value; fuel_economy_unit; fuel_economy_source</t>
  </si>
  <si>
    <t>Captures the vehicle-specific or representative fuel-economy factor used to bridge missing fuel or distance data.</t>
  </si>
  <si>
    <t>U.S. EPA, Direct Emissions from Mobile Combustion Source (Dec. 2023), §4, p. 7.</t>
  </si>
  <si>
    <t>Use only when accurate fuel-use or distance records are unavailable. See FLAG-008.</t>
  </si>
  <si>
    <t>S1-MOB-270</t>
  </si>
  <si>
    <t>estimated_fuel_quantity; estimated_distance</t>
  </si>
  <si>
    <t>Derives missing fuel quantity from distance or missing distance from fuel quantity using fuel economy.</t>
  </si>
  <si>
    <t>S1-MOB-260; S1-MOB-010; S1-MOB-050</t>
  </si>
  <si>
    <t>Use only when direct fuel or distance data are unavailable. estimated_fuel_quantity feeds S1-MOB-330; estimated_distance feeds S1-MOB-340. The calculation record preserves estimation direction and status.</t>
  </si>
  <si>
    <t>S1-MOB-280</t>
  </si>
  <si>
    <t>heavy-duty on-road or non-road mobile equipment</t>
  </si>
  <si>
    <t>operating_hours; horsepower_hours; ton_miles; fuel_consumption_rate; rate_unit</t>
  </si>
  <si>
    <t>Captures alternative operating activity and the fuel-consumption rate needed when direct fuel data are not available.</t>
  </si>
  <si>
    <t>U.S. EPA, Direct Emissions from Mobile Combustion Source (Dec. 2023), §4, p. 8.</t>
  </si>
  <si>
    <t>S1-MOB-120; S1-MOB-400</t>
  </si>
  <si>
    <t>Applicable only to equipment for which hours, horsepower-hours, or ton-miles are the available operating data.</t>
  </si>
  <si>
    <t>S1-MOB-290</t>
  </si>
  <si>
    <t>Estimates mobile fuel consumption from hours, horsepower-hours, or ton-miles and an applicable fuel-consumption rate.</t>
  </si>
  <si>
    <t>Feeds the normalized mobile-fuel selector S1-MOB-330. The evidence-derived calculation record preserves estimate basis and status.</t>
  </si>
  <si>
    <t>S1-MOB-300</t>
  </si>
  <si>
    <t>freight vehicle with material idling</t>
  </si>
  <si>
    <t>idling_duration; idling_duration_unit; idling_fuel_rate; idling_fuel_quantity</t>
  </si>
  <si>
    <t>fuel_quantity_is_estimated = true AND idling_included_flag = false</t>
  </si>
  <si>
    <t>Captures long-duration idling inputs so fuel and emissions are not omitted when activity is estimated from distance.</t>
  </si>
  <si>
    <t>S1-MOB-120; S1-MOB-470</t>
  </si>
  <si>
    <t>Feeds S1-MOB-330 only when fuel is estimated from distance or other activity and idling is not already included. Direct fuel-use records already capture idling.</t>
  </si>
  <si>
    <t>S1-MOB-310</t>
  </si>
  <si>
    <t>mobile source using a biofuel or blended fossil/biomass fuel</t>
  </si>
  <si>
    <t>biofuel_blend_pct; fossil_fraction; biogenic_fraction; blend_source</t>
  </si>
  <si>
    <t>biogenic_fraction &gt; 0</t>
  </si>
  <si>
    <t>Captures the fossil and biomass fractions of blended mobile fuel so fossil and biogenic CO2 can be separated.</t>
  </si>
  <si>
    <t>U.S. EPA, Direct Emissions from Mobile Combustion Source (Dec. 2023), §1, pp. 2–3.</t>
  </si>
  <si>
    <t>Feeds S1-MOB-320 and method-specific split-CO2 outputs S1-MOB-350 through S1-MOB-370. Biogenic CO2 is passed to General-layer BIO-010.</t>
  </si>
  <si>
    <t>S1-MOB-320</t>
  </si>
  <si>
    <t>Splits total fuel consumption into fossil and biogenic quantities using the blend fractions.</t>
  </si>
  <si>
    <t>S1-MOB-310; S1-MOB-330</t>
  </si>
  <si>
    <t>Uses the single selected fuel quantity from S1-MOB-330; it no longer consumes mutually exclusive raw, adjusted, and estimated routes directly.</t>
  </si>
  <si>
    <t>S1-MOB-330</t>
  </si>
  <si>
    <t>mobile-combustion fuel-input selector</t>
  </si>
  <si>
    <t>selected_quantity_combusted; selected_quantity_unit; selected_quantity_basis; idling_adjustment_applied_flag</t>
  </si>
  <si>
    <t>Normalizes mutually exclusive direct, adjusted, fuel-economy-derived, or operating-activity-derived mobile fuel quantities into one selected calculation input. It also adds idling fuel only when the selected estimate does not already capture idling.</t>
  </si>
  <si>
    <t>S1-MOB-010; S1-MOB-210; S1-MOB-270; S1-MOB-290; S1-MOB-300; S1-MOB-470</t>
  </si>
  <si>
    <t>Base quantity is ONE OF S1-MOB-010, S1-MOB-210, estimated_fuel_quantity from S1-MOB-270, or S1-MOB-290. S1-MOB-300 is an optional additive adjustment only when idling is absent from the selected estimate. See FLAG-016. The selected upstream Field_ID is stored separately in S1-MOB-440.</t>
  </si>
  <si>
    <t>S1-MOB-340</t>
  </si>
  <si>
    <t>on-road distance-input selector</t>
  </si>
  <si>
    <t>selected_distance; selected_distance_unit; selected_distance_basis</t>
  </si>
  <si>
    <t>Normalizes direct or fuel-economy-derived on-road distance into the single activity input consumed by the distance-based CH4 and N2O formula.</t>
  </si>
  <si>
    <t>S1-MOB-050; S1-MOB-270</t>
  </si>
  <si>
    <t>ONE-OF dependency: use direct distance from S1-MOB-050 or estimated_distance from S1-MOB-270, never both. See FLAG-016. The selected upstream Field_ID is stored separately in S1-MOB-450.</t>
  </si>
  <si>
    <t>S1-MOB-350</t>
  </si>
  <si>
    <t>mobile source combusting biomass, biofuel, or blended fuel using the HHV method</t>
  </si>
  <si>
    <t>emissions_co2_fossil; emissions_co2_biogenic; gas_emissions_unit</t>
  </si>
  <si>
    <t>biogenic_fraction &gt; 0 AND selected_co2_calculation_method = 'fuel_based_hhv'</t>
  </si>
  <si>
    <t>Stores the company-reported fossil and biogenic CO2 results for the mobile HHV biofuel route.</t>
  </si>
  <si>
    <t>U.S. EPA, Direct Emissions from Mobile Combustion Source (Dec. 2023), §1, pp. 2–3; §2, p. 3.</t>
  </si>
  <si>
    <t>S1-MOB-020; S1-MOB-030; S1-MOB-320</t>
  </si>
  <si>
    <t>Use instead of S1-MOB-040 for biomass or blended fuels. CH4 and N2O continue through S1-MOB-070 or S1-MOB-090 as applicable; emissions_co2_biogenic feeds General-layer BIO-010. gas_emissions_unit records the unit for named-gas quantities; co2e_unit records the unit for any reported CO2e field. S1-OUT accepts the gas quantity only when gas_emissions_unit = 'metric_tonne'. Reported-value convention: the stored result is extracted; Derived_From identifies the independent recompute lineage.</t>
  </si>
  <si>
    <t>S1-MOB-360</t>
  </si>
  <si>
    <t>mobile source combusting biomass, biofuel, or blended fuel using default mass/volume factors</t>
  </si>
  <si>
    <t>biogenic_fraction &gt; 0 AND selected_co2_calculation_method = 'fuel_based_default'</t>
  </si>
  <si>
    <t>Stores the company-reported fossil and biogenic CO2 results for the mobile default-factor biofuel route.</t>
  </si>
  <si>
    <t>U.S. EPA, Direct Emissions from Mobile Combustion Source (Dec. 2023), §1, pp. 2–3; §2, pp. 3–4.</t>
  </si>
  <si>
    <t>S1-MOB-220; S1-MOB-320</t>
  </si>
  <si>
    <t>Use instead of S1-MOB-230 for biomass or blended fuels. CH4 and N2O continue through S1-MOB-070 or S1-MOB-090 as applicable; emissions_co2_biogenic feeds General-layer BIO-010. gas_emissions_unit records the unit for named-gas quantities; co2e_unit records the unit for any reported CO2e field. S1-OUT accepts the gas quantity only when gas_emissions_unit = 'metric_tonne'. Reported-value convention: the stored result is extracted; Derived_From identifies the independent recompute lineage.</t>
  </si>
  <si>
    <t>S1-MOB-370</t>
  </si>
  <si>
    <t>mobile source combusting biomass, biofuel, or blended fuel using actual carbon content</t>
  </si>
  <si>
    <t>biogenic_fraction &gt; 0 AND selected_co2_calculation_method = 'fuel_based_carbon_content'</t>
  </si>
  <si>
    <t>Stores the company-reported fossil and biogenic CO2 results for the mobile carbon-content biofuel route.</t>
  </si>
  <si>
    <t>U.S. EPA, Direct Emissions from Mobile Combustion Source (Dec. 2023), §1, pp. 2–3; §2, p. 4.</t>
  </si>
  <si>
    <t>S1-MOB-240; S1-MOB-320</t>
  </si>
  <si>
    <t>Use instead of S1-MOB-250 for biomass or blended fuels. CH4 and N2O continue through S1-MOB-070 or S1-MOB-090 as applicable; emissions_co2_biogenic feeds General-layer BIO-010. gas_emissions_unit records the unit for named-gas quantities; co2e_unit records the unit for any reported CO2e field. S1-OUT accepts the gas quantity only when gas_emissions_unit = 'metric_tonne'. Reported-value convention: the stored result is extracted; Derived_From identifies the independent recompute lineage.</t>
  </si>
  <si>
    <t>S1-MOB-400</t>
  </si>
  <si>
    <t>vehicle_type; model_year; fuel_type; location; operating_status; fleet_group; mobile_source_class</t>
  </si>
  <si>
    <t>Stores the document-carried descriptive attributes of each owned or controlled mobile asset.</t>
  </si>
  <si>
    <t>Companion attributes for the S1-MOB-100 asset identifier. mobile_source_class is on_road or non_road and determines the required CH4/N2O method.</t>
  </si>
  <si>
    <t>mobile fuel transaction</t>
  </si>
  <si>
    <t>transaction_id; vehicle_or_equipment_id; source_document_id; inventory_id; reporting_period_ref</t>
  </si>
  <si>
    <t>Provides the assigned transaction, asset, and source-document identifiers for each mobile fuel record.</t>
  </si>
  <si>
    <t>Identifier row at fuel_transaction grain. inventory_id is an explicit FK to General INV-010; no shared wrapper or auto-inheritance is assumed. reporting_period_ref is an explicit FK to General PER-010.</t>
  </si>
  <si>
    <t>mobile transport activity record</t>
  </si>
  <si>
    <t>activity_record_id; vehicle_or_equipment_id; source_document_id; inventory_id; reporting_period_ref</t>
  </si>
  <si>
    <t>Provides the assigned activity-record, asset, and source-document identifiers.</t>
  </si>
  <si>
    <t>Identifier row at activity_record grain. inventory_id is an explicit FK to General INV-010; no shared wrapper or auto-inheritance is assumed. reporting_period_ref is an explicit FK to General PER-010.</t>
  </si>
  <si>
    <t>calculation_record_id; source_document_id; inventory_id; vehicle_or_equipment_id; reporting_period_ref; source_id; source_grain</t>
  </si>
  <si>
    <t>Provides the assigned calculation-record and source-document identifiers.</t>
  </si>
  <si>
    <t>Identifier row at calculation_record grain. inventory_id is an explicit FK to General INV-010; no shared wrapper or auto-inheritance is assumed. vehicle_or_equipment_id and reporting_period_ref join the calculation record to the mobile-asset-period calculation it documents. Core because every normalized mobile output must resolve method_variant_ref to a calculation record. source_id equals vehicle_or_equipment_id and source_grain equals mobile_asset for normalized-output tracing.</t>
  </si>
  <si>
    <t>S1-MOB-440</t>
  </si>
  <si>
    <t>Stores the assigned Field_ID of the fuel-quantity route selected for the mobile calculation instance.</t>
  </si>
  <si>
    <t>S1-MOB-450</t>
  </si>
  <si>
    <t>Stores the assigned Field_ID of the direct or estimated distance selected for the on-road calculation instance.</t>
  </si>
  <si>
    <t>S1-MOB-460</t>
  </si>
  <si>
    <t>mobile-combustion method selector</t>
  </si>
  <si>
    <t>selected_co2_calculation_method; selected_co2_method_basis; selected_nonco2_calculation_method; selected_nonco2_method_basis</t>
  </si>
  <si>
    <t>Declares the executable CO2 and CH4/N2O method selections for each mobile asset and reporting period.</t>
  </si>
  <si>
    <t>S1-MOB-140; S1-MOB-130; S1-MOB-400</t>
  </si>
  <si>
    <t>selected_co2_calculation_method is one of fuel_based_hhv, fuel_based_default, or fuel_based_carbon_content. selected_nonco2_calculation_method is distance_based_onroad for on-road assets or fuel_based_nonroad for non-road assets.</t>
  </si>
  <si>
    <t>S1-MOB-470</t>
  </si>
  <si>
    <t>mobile activity-quantity route selector</t>
  </si>
  <si>
    <t>selected_activity_quantity_route; selected_activity_route_basis; fuel_quantity_is_estimated</t>
  </si>
  <si>
    <t>Selects the direct, inventory-adjusted, or activity-estimated mobile fuel route and declares whether the selected fuel quantity is estimated.</t>
  </si>
  <si>
    <t>S1-MOB-130; S1-MOB-110; S1-MOB-120</t>
  </si>
  <si>
    <t>mobile emission-factor set reference</t>
  </si>
  <si>
    <t>S1-FUG-010</t>
  </si>
  <si>
    <t>FUG</t>
  </si>
  <si>
    <t>equipment_group_x_reporting_period</t>
  </si>
  <si>
    <t>screening</t>
  </si>
  <si>
    <t>refrigeration or air-conditioning equipment</t>
  </si>
  <si>
    <t>HFC-134a; R-410A; other named refrigerant or blend</t>
  </si>
  <si>
    <t>equipment_type; equipment_count; gas_type; total_charge_capacity; capacity_unit; new_equipment_charge; time_in_service_years; disposed_equipment_capacity</t>
  </si>
  <si>
    <t>selected_calculation_method = 'screening' AND selected_screening_source_type = 'refrigeration_ac'</t>
  </si>
  <si>
    <t>Captures equipment type, count, gas type, charge capacity, and life-cycle activity needed for refrigeration and air-conditioning screening.</t>
  </si>
  <si>
    <t>CT-S1-FGASINV</t>
  </si>
  <si>
    <t>U.S. EPA, Direct Fugitive Emissions from Refrigeration, Air Conditioning, Fire Suppression, and Industrial Gases (Dec. 2023), §2.1.1, pp. 4–5; §3, p. 10.</t>
  </si>
  <si>
    <t>S1-FUG-100; S1-FUG-110; S1-FUG-510</t>
  </si>
  <si>
    <t>Actual equipment capacity should be used. Screening is not appropriate for purchased industrial gases.</t>
  </si>
  <si>
    <t>S1-FUG-020</t>
  </si>
  <si>
    <t>assembly_loss_factor; annual_leak_rate; disposal_remaining_pct; recovery_efficiency; ef_source; ef_vintage</t>
  </si>
  <si>
    <t>Stores equipment-specific installation, operating, disposal, and recovery factors used by the screening equations.</t>
  </si>
  <si>
    <t>U.S. EPA, Direct Fugitive Emissions from Refrigeration, Air Conditioning, Fire Suppression, and Industrial Gases (Dec. 2023), §2.1.1, pp. 4–5; §3, pp. 10–11.</t>
  </si>
  <si>
    <t>S1-FUG-540</t>
  </si>
  <si>
    <t>The guidance recommends upper-end default ranges for screening and describes the method as highly uncertain. See FLAG-009. Per-factor values and factor-level provenance remain in Scope 1 because the factor-set grain is finer than General MTH-020's source-category grain. mth_020_ref links the factor set to the General methodology source once General exposes a stable MTH-020 key.</t>
  </si>
  <si>
    <t>S1-FUG-030</t>
  </si>
  <si>
    <t>installation_emissions_gas; operating_emissions_gas; disposal_emissions_gas</t>
  </si>
  <si>
    <t>Calculates installation, operating, and disposal releases separately for each refrigerant or blend.</t>
  </si>
  <si>
    <t>U.S. EPA, Direct Fugitive Emissions from Refrigeration, Air Conditioning, Fire Suppression, and Industrial Gases (Dec. 2023), §2.1.1, pp. 4–5.</t>
  </si>
  <si>
    <t>S1-FUG-010; S1-FUG-020</t>
  </si>
  <si>
    <t>S1-FUG-040</t>
  </si>
  <si>
    <t>total_emissions_gas; emissions_co2e; gas_emissions_unit; co2e_unit</t>
  </si>
  <si>
    <t>Stores the company-reported refrigerant emissions and CO2e result for the refrigeration or air-conditioning screening method.</t>
  </si>
  <si>
    <t>U.S. EPA, Direct Fugitive Emissions from Refrigeration, Air Conditioning, Fire Suppression, and Industrial Gases (Dec. 2023), §2.1.1, p. 5.</t>
  </si>
  <si>
    <t>gas_emissions_unit records the unit for named-gas quantities; co2e_unit records the unit for any reported CO2e field. S1-OUT accepts the gas quantity only when gas_emissions_unit = 'metric_tonne'. Reported-value convention: the stored result is extracted; Derived_From identifies the independent recompute lineage.</t>
  </si>
  <si>
    <t>S1-FUG-050</t>
  </si>
  <si>
    <t>fixed or portable fire-suppression equipment</t>
  </si>
  <si>
    <t>CO2; HFCs; PFCs; other named fire suppressant</t>
  </si>
  <si>
    <t>equipment_type; fixed_or_portable; gas_type; equipment_count; total_capacity; capacity_unit</t>
  </si>
  <si>
    <t>selected_calculation_method = 'screening' AND selected_screening_source_type = 'fire_suppression'</t>
  </si>
  <si>
    <t>Captures fire-suppression equipment class, gas type, count, and total capacity for the screening calculation.</t>
  </si>
  <si>
    <t>U.S. EPA, Direct Fugitive Emissions from Refrigeration, Air Conditioning, Fire Suppression, and Industrial Gases (Dec. 2023), §2.1.2, p. 5.</t>
  </si>
  <si>
    <t>S1-FUG-100; S1-FUG-510</t>
  </si>
  <si>
    <t>Fixed and portable equipment use different screening factors.</t>
  </si>
  <si>
    <t>S1-FUG-060</t>
  </si>
  <si>
    <t>fixed_system_emission_factor; portable_system_emission_factor; ef_source; ef_unit</t>
  </si>
  <si>
    <t>Stores the capacity-based screening factor for fixed or portable fire-suppression equipment.</t>
  </si>
  <si>
    <t>The guidance states 2.5% for fixed systems and 3.5% for portable equipment. Per-factor values and factor-level provenance remain in Scope 1 because the factor-set grain is finer than General MTH-020's source-category grain. mth_020_ref links the factor set to the General methodology source once General exposes a stable MTH-020 key.</t>
  </si>
  <si>
    <t>S1-FUG-070</t>
  </si>
  <si>
    <t>emissions_gas; emissions_co2e; gas_emissions_unit; co2e_unit</t>
  </si>
  <si>
    <t>Stores the company-reported fire-suppressant emissions and CO2e result for the fire-suppression screening method.</t>
  </si>
  <si>
    <t>S1-FUG-050; S1-FUG-060</t>
  </si>
  <si>
    <t>S1-FUG-080</t>
  </si>
  <si>
    <t>gas_purchase</t>
  </si>
  <si>
    <t>purchased_gas</t>
  </si>
  <si>
    <t>purchased industrial gas used and released</t>
  </si>
  <si>
    <t>CO2; CH4; N2O; HFCs; PFCs; SF6; NF3</t>
  </si>
  <si>
    <t>gas_type; amount_purchased; quantity_unit; use_purpose</t>
  </si>
  <si>
    <t>selected_calculation_method = 'purchased_gas'</t>
  </si>
  <si>
    <t>Captures the type, amount, unit, and purpose of industrial gas purchased and released during the reporting period.</t>
  </si>
  <si>
    <t>U.S. EPA, Direct Fugitive Emissions from Refrigeration, Air Conditioning, Fire Suppression, and Industrial Gases (Dec. 2023), §2.2, pp. 5–6; §3, p. 11.</t>
  </si>
  <si>
    <t>S1-FUG-120</t>
  </si>
  <si>
    <t>Do not use this method when gas inventory is maintained or equipment contains a gas charge. See FLAG-010. Vocabulary gap: CT-S1-FGASPROC is narrower than this all-industrial-gas row and is not used pending vocabulary-owner confirmation. See FLAG-017.</t>
  </si>
  <si>
    <t>S1-FUG-090</t>
  </si>
  <si>
    <t>gas_property_record</t>
  </si>
  <si>
    <t>purchased industrial gas reported in volume units</t>
  </si>
  <si>
    <t>gas_density; density_unit; density_source</t>
  </si>
  <si>
    <t>selected_calculation_method = 'purchased_gas' AND quantity_unit_type = 'volume'</t>
  </si>
  <si>
    <t>Captures the gas density required when purchased volume must be converted to mass.</t>
  </si>
  <si>
    <t>U.S. EPA, Direct Fugitive Emissions from Refrigeration, Air Conditioning, Fire Suppression, and Industrial Gases (Dec. 2023), §2.2, p. 5.</t>
  </si>
  <si>
    <t>S1-FUG-530</t>
  </si>
  <si>
    <t>Required only when purchase data are not already in mass units. Vocabulary gap: gas density is a conversion property, not an emission factor, so CT-S1-EFREF is not used. See FLAG-017.</t>
  </si>
  <si>
    <t>S1-FUG-100</t>
  </si>
  <si>
    <t>refrigerant, air-conditioning, refrigeration, or fire-suppression equipment register</t>
  </si>
  <si>
    <t>named refrigerant or fire suppressant</t>
  </si>
  <si>
    <t>Provides the assigned primary identifier(s) for the refrigerant, air-conditioning, refrigeration, or fire-suppression equipment register.</t>
  </si>
  <si>
    <t>S1-FUG-110</t>
  </si>
  <si>
    <t>service_event</t>
  </si>
  <si>
    <t>refrigerant or fire-suppression service-event register</t>
  </si>
  <si>
    <t>gas_type; event_date; amount_added; amount_removed; amount_recovered; amount_disposed; quantity_unit; service_provider</t>
  </si>
  <si>
    <t>Preserves installation, servicing, recovery, disposal, and contractor evidence used by fugitive calculations.</t>
  </si>
  <si>
    <t>CT-S1-REFRSVC</t>
  </si>
  <si>
    <t>S1-FUG-410</t>
  </si>
  <si>
    <t>Register/evidence row; no normative citation by design. Assigned identifiers and document references are separated into S1-FUG-410.</t>
  </si>
  <si>
    <t>industrial gas purchase and use register</t>
  </si>
  <si>
    <t>gas_type; purchase_date; amount_purchased; quantity_unit; use_purpose</t>
  </si>
  <si>
    <t>Preserves industrial-gas purchase and use records supporting the purchased-gas or future material-balance method.</t>
  </si>
  <si>
    <t>S1-FUG-420</t>
  </si>
  <si>
    <t>Register/evidence row; no normative citation by design. Vocabulary gap: CT-S1-FGASPROC is narrower than this all-industrial-gas row and is not used pending vocabulary-owner confirmation. See FLAG-017. Assigned identifiers and document references are separated into S1-FUG-420.</t>
  </si>
  <si>
    <t>S1-FUG-130</t>
  </si>
  <si>
    <t>SF6-containing electrical equipment register</t>
  </si>
  <si>
    <t>SF6</t>
  </si>
  <si>
    <t>Provides the assigned primary identifier(s) for the SF6-containing electrical equipment register.</t>
  </si>
  <si>
    <t>CT-S1-ELECSF6</t>
  </si>
  <si>
    <t>S1-FUG-140</t>
  </si>
  <si>
    <t>SF6 electrical-equipment service-event register</t>
  </si>
  <si>
    <t>event_date; sf6_added; sf6_removed; sf6_recovered; quantity_unit</t>
  </si>
  <si>
    <t>Preserves SF6 additions, removals, and recovery events pending a formally sourced calculation method.</t>
  </si>
  <si>
    <t>S1-FUG-440</t>
  </si>
  <si>
    <t>Evidence register only; no calculation conclusion is encoded. See FLAG-012. Assigned identifiers and document references are separated into S1-FUG-440.</t>
  </si>
  <si>
    <t>S1-FUG-150</t>
  </si>
  <si>
    <t>component_inspection</t>
  </si>
  <si>
    <t>gas transport, storage, or process-equipment leak register</t>
  </si>
  <si>
    <t>CH4</t>
  </si>
  <si>
    <t>gas_stream; inspection_date; leak_detection_method; measured_leak_rate; repair_date; repair_status</t>
  </si>
  <si>
    <t>Preserves component-level leak detection and repair evidence for methane or gas-system fugitive sources.</t>
  </si>
  <si>
    <t>CT-S1-EQUIPLEAK</t>
  </si>
  <si>
    <t>S1-FUG-450</t>
  </si>
  <si>
    <t>Mapped to CT-S1-EQUIPLEAK because the row is specifically a leak detection, measurement, repair, and follow-up evidence register. The calculation formula remains deferred under FLAG-012. Assigned identifiers and document references are separated into S1-FUG-450.</t>
  </si>
  <si>
    <t>S1-FUG-160</t>
  </si>
  <si>
    <t>fugitive-emissions calculation record</t>
  </si>
  <si>
    <t>named gas or blend</t>
  </si>
  <si>
    <t>estimate_flag</t>
  </si>
  <si>
    <t>Preserves verifier-determined estimation metadata for a fugitive-emissions calculation record.</t>
  </si>
  <si>
    <t>S1-FUG-460</t>
  </si>
  <si>
    <t>Reporting-period allocation is owned by General PER-020. Scope 1 retains only the purchased-gas basis such as expected_years_usage and does not store a second allocation-method decision.</t>
  </si>
  <si>
    <t>S1-FUG-170</t>
  </si>
  <si>
    <t>fugitive-emissions documented method claim</t>
  </si>
  <si>
    <t>Documented company claim. The executable fugitive selectors are independently derived and checked against this value. Core documented method claim required by the S1-OUT method-trace invariant.</t>
  </si>
  <si>
    <t>S1-FUG-180</t>
  </si>
  <si>
    <t>methane or gas-system fugitive equipment register</t>
  </si>
  <si>
    <t>Provides the assigned primary identifier for gas transport, storage, processing, or other methane-leak equipment.</t>
  </si>
  <si>
    <t>CT-S1-GASFUG</t>
  </si>
  <si>
    <t>Evidence scaffold only; the methane leak calculation method remains deferred under FLAG-012. inventory_id and facility_id are explicit General foreign keys.</t>
  </si>
  <si>
    <t>S1-FUG-190</t>
  </si>
  <si>
    <t>equipment_type; location; gas_stream; operating_status</t>
  </si>
  <si>
    <t>Stores descriptive attributes for gas-system equipment linked to methane leak inspection evidence.</t>
  </si>
  <si>
    <t>Calculation conclusions remain deferred under FLAG-012.</t>
  </si>
  <si>
    <t>S1-FUG-200</t>
  </si>
  <si>
    <t>converted_mass</t>
  </si>
  <si>
    <t>Converts purchased gas volume to mass using the gas-specific density.</t>
  </si>
  <si>
    <t>S1-FUG-080; S1-FUG-090; S1-FUG-530</t>
  </si>
  <si>
    <t>S1-FUG-210</t>
  </si>
  <si>
    <t>bulk industrial gas purchase spanning multiple years</t>
  </si>
  <si>
    <t>bulk_purchase_quantity; expected_years_usage</t>
  </si>
  <si>
    <t>selected_calculation_method = 'purchased_gas' AND expected_years_usage &gt; 1</t>
  </si>
  <si>
    <t>Captures the bulk purchase and expected usage duration when the quantity must be allocated across reporting periods.</t>
  </si>
  <si>
    <t>U.S. EPA, Direct Fugitive Emissions from Refrigeration, Air Conditioning, Fire Suppression, and Industrial Gases (Dec. 2023), §2.2, p. 6.</t>
  </si>
  <si>
    <t>S1-FUG-220</t>
  </si>
  <si>
    <t>gas_purchase_x_reporting_period</t>
  </si>
  <si>
    <t>Deprecated legacy Scope 1 output retained only for Field_ID lineage. The canonical reporting-period allocated quantity is owned by General PER-020.</t>
  </si>
  <si>
    <t>DEPRECATED — do not populate in new implementations. Retained so S1-FUG-220 is never reused. General PER-020 must support period_allocation_method = 'usage_based' for multi-year bulk-gas purchases.</t>
  </si>
  <si>
    <t>S1-FUG-230</t>
  </si>
  <si>
    <t>Stores the company-reported gas emissions and CO2e result for the purchased-gas method.</t>
  </si>
  <si>
    <t>S1-FUG-080; S1-FUG-200</t>
  </si>
  <si>
    <t>For expected_years_usage &gt; 1, consume General PER-020.allocated_quantity through the cross-layer edge table; S1-FUG-220 is no longer an active input. gas_emissions_unit records the unit for named-gas quantities; co2e_unit records the unit for any reported CO2e field. S1-OUT accepts the gas quantity only when gas_emissions_unit = 'metric_tonne'. Reported-value convention: the stored result is extracted; Derived_From identifies the independent recompute lineage.</t>
  </si>
  <si>
    <t>S1-FUG-240</t>
  </si>
  <si>
    <t>system_x_reporting_period</t>
  </si>
  <si>
    <t>material_balance</t>
  </si>
  <si>
    <t>refrigerant, fire-suppressant, or charged industrial-gas system</t>
  </si>
  <si>
    <t>named refrigerant; named fire suppressant; named industrial gas</t>
  </si>
  <si>
    <t>inventory_beginning; inventory_ending; purchases_acquisitions; sales_disbursements; equipment_capacity_beginning; equipment_capacity_ending; quantity_unit; gas_type</t>
  </si>
  <si>
    <t>selected_calculation_method = 'material_balance'</t>
  </si>
  <si>
    <t>Captures storage inventory, acquisitions, disbursements, and equipment-capacity balances for each gas or blend.</t>
  </si>
  <si>
    <t>U.S. EPA, Direct Fugitive Emissions from Refrigeration, Air Conditioning, Fire Suppression, and Industrial Gases (Dec. 2023), §2.3, pp. 6–7; §3, p. 12.</t>
  </si>
  <si>
    <t>S1-FUG-100; S1-FUG-110; S1-FUG-120; S1-FUG-520</t>
  </si>
  <si>
    <t>Inventory excludes gas contained in operating equipment; equipment capacity is full proper charge, not actual charge. gas_type is declared at the system-period grain so the material-balance output has an unambiguous gas identity.</t>
  </si>
  <si>
    <t>S1-FUG-250</t>
  </si>
  <si>
    <t>inventory_change; capacity_change</t>
  </si>
  <si>
    <t>Calculates beginning-to-ending storage inventory change and equipment-capacity change for the material balance.</t>
  </si>
  <si>
    <t>U.S. EPA, Direct Fugitive Emissions from Refrigeration, Air Conditioning, Fire Suppression, and Industrial Gases (Dec. 2023), §2.3, pp. 6–7.</t>
  </si>
  <si>
    <t>S1-FUG-260</t>
  </si>
  <si>
    <t>Stores the company-reported gas emissions and CO2e result for the full material-balance method.</t>
  </si>
  <si>
    <t>S1-FUG-320</t>
  </si>
  <si>
    <t>Independent recompute formula: selected_inventory_change + selected_purchases_acquisitions − selected_sales_disbursements + selected_capacity_change. S1-FUG-320 selects and normalizes the inputs. gas_emissions_unit records the named-gas unit; co2e_unit records the reported CO2e unit. S1-OUT accepts the gas quantity only when gas_emissions_unit = 'metric_tonne'. Reported-value convention: the stored result is extracted; Derived_From identifies the independent recompute lineage.</t>
  </si>
  <si>
    <t>S1-FUG-270</t>
  </si>
  <si>
    <t>system with unknown beginning or ending equipment capacity</t>
  </si>
  <si>
    <t>new_equipment_capacity; retrofit_to_gas_capacity; retiring_equipment_capacity; retrofit_away_capacity</t>
  </si>
  <si>
    <t>selected_calculation_method = 'material_balance' AND (equipment_capacity_beginning IS NULL OR equipment_capacity_ending IS NULL)</t>
  </si>
  <si>
    <t>Captures installation, retirement, and retrofit capacity changes when direct beginning and ending capacity totals are unavailable.</t>
  </si>
  <si>
    <t>U.S. EPA, Direct Fugitive Emissions from Refrigeration, Air Conditioning, Fire Suppression, and Industrial Gases (Dec. 2023), §2.3, p. 7; §3, p. 12.</t>
  </si>
  <si>
    <t>Use only as the substitute route for unknown beginning/ending capacity.</t>
  </si>
  <si>
    <t>S1-FUG-280</t>
  </si>
  <si>
    <t>estimated_capacity_change</t>
  </si>
  <si>
    <t>Derives capacity change from installed, retired, and retrofit equipment when direct capacity balances are unavailable.</t>
  </si>
  <si>
    <t>U.S. EPA, Direct Fugitive Emissions from Refrigeration, Air Conditioning, Fire Suppression, and Industrial Gases (Dec. 2023), §2.3, p. 7.</t>
  </si>
  <si>
    <t>Fallback only. estimated_capacity_change feeds the selector S1-FUG-320 and is used only when direct beginning/ending equipment capacity is unavailable.</t>
  </si>
  <si>
    <t>S1-FUG-290</t>
  </si>
  <si>
    <t>simplified_material_balance</t>
  </si>
  <si>
    <t>contractor-serviced refrigerant or fire-suppression equipment</t>
  </si>
  <si>
    <t>named refrigerant; named fire suppressant</t>
  </si>
  <si>
    <t>new_equipment_charge_purchased; new_equipment_capacity; service_refrigerant_purchased; retiring_equipment_capacity; recovered_from_retiring_equipment; quantity_unit; gas_type</t>
  </si>
  <si>
    <t>selected_calculation_method = 'simplified_material_balance'</t>
  </si>
  <si>
    <t>Captures installation, service, retirement, and recovery quantities required by the simplified material balance.</t>
  </si>
  <si>
    <t>U.S. EPA, Direct Fugitive Emissions from Refrigeration, Air Conditioning, Fire Suppression, and Industrial Gases (Dec. 2023), §2.4, pp. 8–9; §3, pp. 12–13.</t>
  </si>
  <si>
    <t>S1-FUG-100; S1-FUG-110; S1-FUG-520</t>
  </si>
  <si>
    <t>Appropriate only when the entity does not track gas stock and has not retrofitted equipment during the period. See FLAG-011. gas_type is declared at the system-period grain so the simplified material-balance output has an unambiguous gas identity.</t>
  </si>
  <si>
    <t>S1-FUG-300</t>
  </si>
  <si>
    <t>Calculates installation, service-loss, and disposal components of simplified material-balance emissions.</t>
  </si>
  <si>
    <t>U.S. EPA, Direct Fugitive Emissions from Refrigeration, Air Conditioning, Fire Suppression, and Industrial Gases (Dec. 2023), §2.4, pp. 8–9.</t>
  </si>
  <si>
    <t>Formula components: PN − CN; PS; CD − RD.</t>
  </si>
  <si>
    <t>S1-FUG-310</t>
  </si>
  <si>
    <t>Stores the company-reported gas emissions and CO2e result for the simplified material-balance method.</t>
  </si>
  <si>
    <t>Formula: (PN − CN) + PS + (CD − RD). gas_emissions_unit records the unit for named-gas quantities; co2e_unit records the unit for any reported CO2e field. S1-OUT accepts the gas quantity only when gas_emissions_unit = 'metric_tonne'. Reported-value convention: the stored result is extracted; Derived_From identifies the independent recompute lineage.</t>
  </si>
  <si>
    <t>selected_inventory_change; selected_purchases_acquisitions; selected_sales_disbursements; selected_capacity_change; capacity_change_basis</t>
  </si>
  <si>
    <t>Normalizes the material-balance inputs by carrying the selected inventory change, acquisitions, disbursements, and one selected equipment-capacity-change value.</t>
  </si>
  <si>
    <t>S1-FUG-240; S1-FUG-250; S1-FUG-280</t>
  </si>
  <si>
    <t>selected_inventory_change comes from S1-FUG-250; selected_purchases_acquisitions and selected_sales_disbursements come from S1-FUG-240. selected_capacity_change is ONE OF direct capacity_change from S1-FUG-250 or estimated_capacity_change from S1-FUG-280. The selected capacity input Field_ID is stored in S1-FUG-470.</t>
  </si>
  <si>
    <t>S1-FUG-400</t>
  </si>
  <si>
    <t>refrigerant, fire-suppression, or charged-gas equipment register</t>
  </si>
  <si>
    <t>equipment_type; location; gas_type; nameplate_capacity; capacity_unit; installation_date; retirement_date; operating_status</t>
  </si>
  <si>
    <t>Stores the document-carried descriptive attributes of each gas-containing equipment item.</t>
  </si>
  <si>
    <t>Companion attributes for the S1-FUG-100 equipment identifier.</t>
  </si>
  <si>
    <t>refrigerant or fire-suppression service event</t>
  </si>
  <si>
    <t>service_event_id; equipment_id; source_document_id; inventory_id; reporting_period_ref</t>
  </si>
  <si>
    <t>Provides the assigned event, equipment, and source-document identifiers for each service record.</t>
  </si>
  <si>
    <t>Identifier row at service_event grain. inventory_id is an explicit FK to General INV-010; no shared wrapper or auto-inheritance is assumed. reporting_period_ref is an explicit FK to General PER-010.</t>
  </si>
  <si>
    <t>industrial gas purchase record</t>
  </si>
  <si>
    <t>transaction_id; facility_id; source_document_id; inventory_id; reporting_period_ref</t>
  </si>
  <si>
    <t>Provides the assigned transaction, facility, and source-document identifiers for each industrial-gas purchase record.</t>
  </si>
  <si>
    <t>Vocabulary gap remains under FLAG-017. inventory_id is an explicit FK to General INV-010; no shared wrapper or auto-inheritance is assumed. facility_id is the explicit canonical FK to General FAC-010; location remains a descriptive attribute. reporting_period_ref is an explicit FK to General PER-010.</t>
  </si>
  <si>
    <t>S1-FUG-430</t>
  </si>
  <si>
    <t>equipment_type; location; sf6_nameplate_capacity; capacity_unit; operating_status</t>
  </si>
  <si>
    <t>Stores the document-carried descriptive attributes of each SF6 electrical-equipment item.</t>
  </si>
  <si>
    <t>Calculation method remains outside the delivered schema under FLAG-012.</t>
  </si>
  <si>
    <t>SF6 electrical-equipment service event</t>
  </si>
  <si>
    <t>event_id; equipment_id; source_document_id; inventory_id; reporting_period_ref</t>
  </si>
  <si>
    <t>Provides the assigned event, equipment, and source-document identifiers for each SF6 service record.</t>
  </si>
  <si>
    <t>Evidence-only identifier row; no calculation conclusion is encoded. inventory_id is an explicit FK to General INV-010; no shared wrapper or auto-inheritance is assumed. reporting_period_ref is an explicit FK to General PER-010.</t>
  </si>
  <si>
    <t>gas-equipment leak inspection</t>
  </si>
  <si>
    <t>component_id; equipment_id; source_document_id; inventory_id; reporting_period_ref</t>
  </si>
  <si>
    <t>Provides the assigned component, equipment, and source-document identifiers for each leak inspection record.</t>
  </si>
  <si>
    <t>Evidence-only identifier row; calculation method remains deferred. inventory_id is an explicit FK to General INV-010; no shared wrapper or auto-inheritance is assumed. reporting_period_ref is an explicit FK to General PER-010.</t>
  </si>
  <si>
    <t>calculation_record_id; source_document_id; inventory_id; source_id; source_grain; reporting_period_ref</t>
  </si>
  <si>
    <t>Identifier row at calculation_record grain. inventory_id is an explicit FK to General INV-010; no shared wrapper or auto-inheritance is assumed. source_id, source_grain, and reporting_period_ref support screening, purchased-gas, and system-level calculation records without forcing all fugitive methods into one equipment key. Core because every normalized fugitive output must resolve method_variant_ref to a calculation record.</t>
  </si>
  <si>
    <t>S1-FUG-470</t>
  </si>
  <si>
    <t>fugitive material-balance capacity selector</t>
  </si>
  <si>
    <t>selected_capacity_input_field_id</t>
  </si>
  <si>
    <t>Stores the assigned Field_ID of the direct or estimated capacity-change input selected for the material-balance calculation.</t>
  </si>
  <si>
    <t>S1-FUG-480</t>
  </si>
  <si>
    <t>fugitive screening-method selector</t>
  </si>
  <si>
    <t>selected_calculation_method; selected_method_basis; selected_screening_source_type</t>
  </si>
  <si>
    <t>Declares the screening method and whether the equipment group is refrigeration/air-conditioning or fire-suppression equipment.</t>
  </si>
  <si>
    <t>S1-FUG-170; S1-FUG-160; S1-FUG-510</t>
  </si>
  <si>
    <t>When selected_calculation_method = 'screening', selected_screening_source_type must be exactly one of refrigeration_ac or fire_suppression.</t>
  </si>
  <si>
    <t>S1-FUG-490</t>
  </si>
  <si>
    <t>purchased-gas method selector</t>
  </si>
  <si>
    <t>selected_calculation_method; selected_method_basis</t>
  </si>
  <si>
    <t>Declares the runtime method-selection fields for purchased-gas calculations at the gas-purchase × reporting-period grain.</t>
  </si>
  <si>
    <t>S1-FUG-170; S1-FUG-160; S1-FUG-420</t>
  </si>
  <si>
    <t>For purchased-gas records, selected_calculation_method resolves to purchased_gas when the method is supported.</t>
  </si>
  <si>
    <t>S1-FUG-500</t>
  </si>
  <si>
    <t>fugitive system-method selector</t>
  </si>
  <si>
    <t>Declares the runtime method-selection fields for material-balance and simplified-material-balance calculations at the system × reporting-period grain.</t>
  </si>
  <si>
    <t>S1-FUG-170; S1-FUG-160; S1-FUG-520</t>
  </si>
  <si>
    <t>selected_calculation_method resolves between material_balance and simplified_material_balance at the grain where the downstream conditions are evaluated.</t>
  </si>
  <si>
    <t>S1-FUG-510</t>
  </si>
  <si>
    <t>fugitive equipment-group source key</t>
  </si>
  <si>
    <t>equipment_group_id; inventory_id; facility_id; reporting_period_ref</t>
  </si>
  <si>
    <t>selected_calculation_method = 'screening'</t>
  </si>
  <si>
    <t>Provides the stable source-period identifier used by screening outputs and S1-OUT.</t>
  </si>
  <si>
    <t>Groups equipment only for a defined gas, equipment class, facility, and reporting period.</t>
  </si>
  <si>
    <t>S1-FUG-520</t>
  </si>
  <si>
    <t>fugitive system source key</t>
  </si>
  <si>
    <t>system_id; inventory_id; facility_id; reporting_period_ref</t>
  </si>
  <si>
    <t>selected_calculation_method IN ('material_balance','simplified_material_balance')</t>
  </si>
  <si>
    <t>Provides the stable source-period identifier used by system-level material-balance outputs and S1-OUT.</t>
  </si>
  <si>
    <t>The system identifier is distinct from an individual equipment_id and may represent a controlled equipment population.</t>
  </si>
  <si>
    <t>purchased-gas unit classifier</t>
  </si>
  <si>
    <t>quantity_unit_type</t>
  </si>
  <si>
    <t>Classifies the purchased-gas quantity unit as mass or volume so the density-conversion path can be evaluated.</t>
  </si>
  <si>
    <t>Permitted values: mass | volume. The field is derived from quantity_unit.</t>
  </si>
  <si>
    <t>fugitive emission-factor set reference</t>
  </si>
  <si>
    <t>S1-PRC-010</t>
  </si>
  <si>
    <t>PRC</t>
  </si>
  <si>
    <t>process_source</t>
  </si>
  <si>
    <t>physical or chemical process source register</t>
  </si>
  <si>
    <t>process-dependent</t>
  </si>
  <si>
    <t>process_source_id; facility_id; equipment_id; inventory_id</t>
  </si>
  <si>
    <t>Provides the assigned primary identifier(s) for the physical or chemical process source register.</t>
  </si>
  <si>
    <t>CT-S1-PROCACT</t>
  </si>
  <si>
    <t>S1-PRC-020</t>
  </si>
  <si>
    <t>process_type; product_or_material; expected_gases; location; operating_status</t>
  </si>
  <si>
    <t>Stores the descriptive attributes of each process-emissions source pending sector-specific calculation modules.</t>
  </si>
  <si>
    <t>PRC remains a source-register scaffold only.</t>
  </si>
  <si>
    <t>S1-OUT-010</t>
  </si>
  <si>
    <t>OUT</t>
  </si>
  <si>
    <t>emission_source_x_gas</t>
  </si>
  <si>
    <t>all_scope1_sources</t>
  </si>
  <si>
    <t>normalization</t>
  </si>
  <si>
    <t>normalized Scope 1 emissions interface</t>
  </si>
  <si>
    <t>CO2; CH4; N2O; HFCs; PFCs; SF6; NF3; other named Scope 1 gas or blend</t>
  </si>
  <si>
    <t>output_record_id; inventory_id; facility_id; reporting_period_ref; source_id; method_variant_ref; source_block</t>
  </si>
  <si>
    <t>Provides the assigned record key, explicit General foreign keys, source reference, method trace, and source-block identity for each normalized Scope 1 gas record.</t>
  </si>
  <si>
    <t>Co-grain identifier row for S1-OUT-020 and S1-OUT-030. 5_Output_Mapping explicitly declares inventory, facility, reporting-period, source, source-block, and calculation-record references for every normalized gas record.</t>
  </si>
  <si>
    <t>S1-OUT-020</t>
  </si>
  <si>
    <t>gas; emissions_quantity; emissions_unit</t>
  </si>
  <si>
    <t>Carries the company-reported gas quantity in one canonical record per emission source and gas. All source outputs must already be expressed in metric tonnes of the named gas before entering S1-OUT.</t>
  </si>
  <si>
    <t>S1-STC-040; S1-STC-060; S1-STC-210; S1-STC-250; S1-STC-270; S1-STC-330; S1-STC-340; S1-STC-350; S1-STC-360; S1-MOB-040; S1-MOB-070; S1-MOB-090; S1-MOB-230; S1-MOB-250; S1-MOB-350; S1-MOB-360; S1-MOB-370; S1-FUG-040; S1-FUG-070; S1-FUG-230; S1-FUG-260; S1-FUG-310; S1-STC-490</t>
  </si>
  <si>
    <t>Value_Origin remains extracted because S1-OUT reshapes the company's reported result and performs no unit conversion. emissions_unit must equal 'metric_tonne'. Source-level reported CO2e remains in the original method rows for reconciliation.</t>
  </si>
  <si>
    <t>S1-OUT-030</t>
  </si>
  <si>
    <t>biogenic_flag</t>
  </si>
  <si>
    <t>Classifies every normalized gas record for routing. TRUE applies only to biogenic CO2; all other gas records carry FALSE.</t>
  </si>
  <si>
    <t>biogenic_origin</t>
  </si>
  <si>
    <t>S1-STC-330; S1-STC-340; S1-STC-350; S1-MOB-350; S1-MOB-360; S1-MOB-370</t>
  </si>
  <si>
    <t>Biomass CH4 and N2O remain in Scope 1 and therefore carry biogenic_flag = false.</t>
  </si>
  <si>
    <t>Edge_ID</t>
  </si>
  <si>
    <t>S1_Field_ID</t>
  </si>
  <si>
    <t>S1_Field(s)</t>
  </si>
  <si>
    <t>Direction</t>
  </si>
  <si>
    <t>Reference_Type</t>
  </si>
  <si>
    <t>Transformation</t>
  </si>
  <si>
    <t>GEN_Field_ID</t>
  </si>
  <si>
    <t>GEN_Field(s)</t>
  </si>
  <si>
    <t>Cardinality</t>
  </si>
  <si>
    <t>GEN_Version</t>
  </si>
  <si>
    <t>Status</t>
  </si>
  <si>
    <t>Notes</t>
  </si>
  <si>
    <t>EDG-S1-001</t>
  </si>
  <si>
    <t>inventory_id</t>
  </si>
  <si>
    <t>GEN_TO_S1</t>
  </si>
  <si>
    <t>inventory_fk</t>
  </si>
  <si>
    <t>direct</t>
  </si>
  <si>
    <t>INV-010</t>
  </si>
  <si>
    <t>one_to_many</t>
  </si>
  <si>
    <t>Unversioned: SB253_General_Methodology_Schema(1).xlsx</t>
  </si>
  <si>
    <t>Active</t>
  </si>
  <si>
    <t>Explicit FK. General owns the inventory key; Scope 1 stores it on the record.</t>
  </si>
  <si>
    <t>EDG-S1-002</t>
  </si>
  <si>
    <t>EDG-S1-003</t>
  </si>
  <si>
    <t>EDG-S1-004</t>
  </si>
  <si>
    <t>EDG-S1-005</t>
  </si>
  <si>
    <t>EDG-S1-006</t>
  </si>
  <si>
    <t>EDG-S1-007</t>
  </si>
  <si>
    <t>EDG-S1-008</t>
  </si>
  <si>
    <t>EDG-S1-009</t>
  </si>
  <si>
    <t>EDG-S1-010</t>
  </si>
  <si>
    <t>EDG-S1-011</t>
  </si>
  <si>
    <t>EDG-S1-012</t>
  </si>
  <si>
    <t>EDG-S1-013</t>
  </si>
  <si>
    <t>EDG-S1-014</t>
  </si>
  <si>
    <t>EDG-S1-015</t>
  </si>
  <si>
    <t>EDG-S1-016</t>
  </si>
  <si>
    <t>EDG-S1-017</t>
  </si>
  <si>
    <t>EDG-S1-018</t>
  </si>
  <si>
    <t>EDG-S1-019</t>
  </si>
  <si>
    <t>EDG-S1-020</t>
  </si>
  <si>
    <t>facility_id</t>
  </si>
  <si>
    <t>facility_fk</t>
  </si>
  <si>
    <t>FAC-010</t>
  </si>
  <si>
    <t>Explicit canonical facility FK. Descriptive location does not substitute for facility_id.</t>
  </si>
  <si>
    <t>EDG-S1-021</t>
  </si>
  <si>
    <t>EDG-S1-022</t>
  </si>
  <si>
    <t>EDG-S1-023</t>
  </si>
  <si>
    <t>EDG-S1-024</t>
  </si>
  <si>
    <t>EDG-S1-025</t>
  </si>
  <si>
    <t>EDG-S1-026</t>
  </si>
  <si>
    <t>EDG-S1-027</t>
  </si>
  <si>
    <t>reporting_period_ref</t>
  </si>
  <si>
    <t>reporting_period_fk</t>
  </si>
  <si>
    <t>PER-010</t>
  </si>
  <si>
    <t>reporting_period_start; reporting_period_end; fiscal_year_basis</t>
  </si>
  <si>
    <t>Explicit reporting-period FK on the Scope 1 activity or normalized output record.</t>
  </si>
  <si>
    <t>EDG-S1-028</t>
  </si>
  <si>
    <t>EDG-S1-029</t>
  </si>
  <si>
    <t>EDG-S1-030</t>
  </si>
  <si>
    <t>EDG-S1-031</t>
  </si>
  <si>
    <t>EDG-S1-032</t>
  </si>
  <si>
    <t>EDG-S1-033</t>
  </si>
  <si>
    <t>EDG-S1-034</t>
  </si>
  <si>
    <t>EDG-S1-035</t>
  </si>
  <si>
    <t>EDG-S1-036</t>
  </si>
  <si>
    <t>emissions_co2e</t>
  </si>
  <si>
    <t>gwp_basis</t>
  </si>
  <si>
    <t>selected_calculation_method = 'fuel_based_hhv'</t>
  </si>
  <si>
    <t>derivation</t>
  </si>
  <si>
    <t>GAS-030</t>
  </si>
  <si>
    <t>gwp_ar_edition; gwp_time_horizon; gwp_source</t>
  </si>
  <si>
    <t>Apply the General GAS-030 GWP basis in the verification/recompute path. The source-row emissions_co2e remains the company's reported extracted value and is not overwritten.</t>
  </si>
  <si>
    <t>EDG-S1-037</t>
  </si>
  <si>
    <t>selected_calculation_method = 'fuel_based_default'</t>
  </si>
  <si>
    <t>EDG-S1-038</t>
  </si>
  <si>
    <t>emissions_co2e_nonco2</t>
  </si>
  <si>
    <t>EDG-S1-039</t>
  </si>
  <si>
    <t>emissions_co2e_scope1</t>
  </si>
  <si>
    <t>EDG-S1-040</t>
  </si>
  <si>
    <t>EDG-S1-041</t>
  </si>
  <si>
    <t>fuel_biogenic_fraction &gt; 0 AND selected_calculation_method = 'fuel_based_carbon_content'</t>
  </si>
  <si>
    <t>EDG-S1-042</t>
  </si>
  <si>
    <t>EDG-S1-043</t>
  </si>
  <si>
    <t>EDG-S1-044</t>
  </si>
  <si>
    <t>EDG-S1-045</t>
  </si>
  <si>
    <t>EDG-S1-046</t>
  </si>
  <si>
    <t>EDG-S1-047</t>
  </si>
  <si>
    <t>EDG-S1-048</t>
  </si>
  <si>
    <t>EDG-S1-049</t>
  </si>
  <si>
    <t>S1_TO_GEN</t>
  </si>
  <si>
    <t>scope1_rollup_output</t>
  </si>
  <si>
    <t>S1-OUT-030.biogenic_flag = false</t>
  </si>
  <si>
    <t>aggregation</t>
  </si>
  <si>
    <t>RUP-010</t>
  </si>
  <si>
    <t>facility_emissions_by_gas; scope2_method</t>
  </si>
  <si>
    <t>many_to_one</t>
  </si>
  <si>
    <t>Join the explicit S1-OUT key references and aggregate gross, pre-consolidation source × gas records to facility × gas. S1-OUT already requires metric_tonne, so no unit conversion occurs here. Set scope2_method = 'not_applicable'; General applies inclusion_percentage downstream.</t>
  </si>
  <si>
    <t>EDG-S1-050</t>
  </si>
  <si>
    <t>biogenic_output</t>
  </si>
  <si>
    <t>gas = 'CO2' AND S1-OUT-030.biogenic_flag = true</t>
  </si>
  <si>
    <t>BIO-010</t>
  </si>
  <si>
    <t>biogenic_co2_quantity; biogenic_origin</t>
  </si>
  <si>
    <t>Aggregate metric tonnes of biogenic CO2 separately, set biogenic_origin = 'scope1_combustion', and exclude it from Scope 1 CO2e.</t>
  </si>
  <si>
    <t>EDG-S1-051</t>
  </si>
  <si>
    <t>allocation_input</t>
  </si>
  <si>
    <t>PER-020</t>
  </si>
  <si>
    <t>period_allocation_method; source_period_start; source_period_end; allocated_quantity</t>
  </si>
  <si>
    <t>one_to_one</t>
  </si>
  <si>
    <t>Pending_GEN_Update</t>
  </si>
  <si>
    <t>General must extend period_allocation_method to include 'usage_based'. Scope 1 supplies the EPA-specific inputs and applicability condition.</t>
  </si>
  <si>
    <t>EDG-S1-052</t>
  </si>
  <si>
    <t>emissions_gas; emissions_co2e</t>
  </si>
  <si>
    <t>allocated_activity_input</t>
  </si>
  <si>
    <t>allocated_quantity</t>
  </si>
  <si>
    <t>Use General PER-020.allocated_quantity as the canonical activity input to derive purchased-gas emissions. S1-FUG-220 is deprecated.</t>
  </si>
  <si>
    <t>EDG-S1-053</t>
  </si>
  <si>
    <t>scope1_co2e_derivation</t>
  </si>
  <si>
    <t>facility_emissions_co2e</t>
  </si>
  <si>
    <t>Apply the General GAS-030 GWP basis to facility-level non-biogenic gas totals and sum to facility_emissions_co2e in metric tonnes CO2e.</t>
  </si>
  <si>
    <t>EDG-S1-054</t>
  </si>
  <si>
    <t>The calculation record stores an explicit reporting-period FK so method_variant is joinable to its source-period calculation.</t>
  </si>
  <si>
    <t>EDG-S1-055</t>
  </si>
  <si>
    <t>EDG-S1-056</t>
  </si>
  <si>
    <t>EDG-S1-057</t>
  </si>
  <si>
    <t>equipment_id</t>
  </si>
  <si>
    <t>scope</t>
  </si>
  <si>
    <t>OPB-010</t>
  </si>
  <si>
    <t>scope_classification</t>
  </si>
  <si>
    <t>OPB-010 supplies the asserted scope classification for this source. The expected Scope 1 value is 1; this dependency enables the anti-double-counting and lessor/lessee mirror checks.</t>
  </si>
  <si>
    <t>EDG-S1-058</t>
  </si>
  <si>
    <t>vehicle_or_equipment_id</t>
  </si>
  <si>
    <t>EDG-S1-059</t>
  </si>
  <si>
    <t>EDG-S1-060</t>
  </si>
  <si>
    <t>EDG-S1-061</t>
  </si>
  <si>
    <t>process_source_id</t>
  </si>
  <si>
    <t>EDG-S1-062</t>
  </si>
  <si>
    <t>Apply the General GWP basis in the verification/recompute path for the CEMS CH4/N2O output. The source-row emissions_co2e_nonco2 remains the company's reported extracted value.</t>
  </si>
  <si>
    <t>EDG-S1-063</t>
  </si>
  <si>
    <t>Explicit inventory FK on the source-period identifier row.</t>
  </si>
  <si>
    <t>EDG-S1-064</t>
  </si>
  <si>
    <t>Explicit facility FK on the source-period identifier row.</t>
  </si>
  <si>
    <t>EDG-S1-065</t>
  </si>
  <si>
    <t>Explicit reporting-period FK on the source-period identifier row.</t>
  </si>
  <si>
    <t>EDG-S1-066</t>
  </si>
  <si>
    <t>EDG-S1-067</t>
  </si>
  <si>
    <t>EDG-S1-068</t>
  </si>
  <si>
    <t>EDG-S1-069</t>
  </si>
  <si>
    <t>EDG-S1-070</t>
  </si>
  <si>
    <t>EDG-S1-071</t>
  </si>
  <si>
    <t>EDG-S1-072</t>
  </si>
  <si>
    <t>mth_020_ref</t>
  </si>
  <si>
    <t>emission_factor_methodology_fk</t>
  </si>
  <si>
    <t>MTH-020</t>
  </si>
  <si>
    <t>ef_source; ef_source_version; ef_publisher</t>
  </si>
  <si>
    <t>Scope 1 retains factor-level values and provenance at emission_factor_set grain. General must add a stable MTH-020 record key/source_category_ref before this assigned reference can become an active FK.</t>
  </si>
  <si>
    <t>EDG-S1-073</t>
  </si>
  <si>
    <t>EDG-S1-074</t>
  </si>
  <si>
    <t>EDG-S1-075</t>
  </si>
  <si>
    <t>Apply the General GWP basis in the verification/recompute path for complex-waste-gas CH4/N2O.</t>
  </si>
  <si>
    <t>EDG-S1-076</t>
  </si>
  <si>
    <t>Explicit inventory FK on the methane/gas-system equipment register.</t>
  </si>
  <si>
    <t>EDG-S1-077</t>
  </si>
  <si>
    <t>Explicit facility FK on the methane/gas-system equipment register.</t>
  </si>
  <si>
    <t>EDG-S1-078</t>
  </si>
  <si>
    <t>OPB-010 supplies the asserted scope classification for the methane/gas-system source.</t>
  </si>
  <si>
    <t>Flag_ID</t>
  </si>
  <si>
    <t>Related_Field_Group</t>
  </si>
  <si>
    <t>Flag_Type</t>
  </si>
  <si>
    <t>Issue</t>
  </si>
  <si>
    <t>Required_Action</t>
  </si>
  <si>
    <t>FLAG-001</t>
  </si>
  <si>
    <t>ALL</t>
  </si>
  <si>
    <t>source_authority</t>
  </si>
  <si>
    <t>The build guide names GHG Protocol cross-sector calculation guidance, while the supplied category-level calculation documents are U.S. EPA Center for Corporate Climate Leadership guidance based on the GHG Protocol.</t>
  </si>
  <si>
    <t>Use the supplied EPA documents as the detailed method sources and cite them by their accurate titles. Revalidate only if a different WRI/WBCSD calculation-tool source is later supplied.</t>
  </si>
  <si>
    <t>U.S. EPA category guidance, preliminary page ii; GHG Protocol Corporate Standard, Introduction, p. 4.</t>
  </si>
  <si>
    <t>Applied</t>
  </si>
  <si>
    <t>FLAG-002</t>
  </si>
  <si>
    <t>Field_ID; Derived_From</t>
  </si>
  <si>
    <t>identifier_governance</t>
  </si>
  <si>
    <t>Field_IDs are governed by the build guide convention S1-{CAT}-{NNN}, with three-digit numbers allocated in tens and never reused or renumbered.</t>
  </si>
  <si>
    <t>Use the final assigned IDs as immutable identifiers. Preserve unused gaps for later insertions and update Derived_From only by reference, never by renumbering existing rows.</t>
  </si>
  <si>
    <t>Scope 1 Data Schema — Build Guide, §5.</t>
  </si>
  <si>
    <t>FLAG-003</t>
  </si>
  <si>
    <t>Requirement_Level; Condition</t>
  </si>
  <si>
    <t>interpretation_rule</t>
  </si>
  <si>
    <t>Applicability and requirement strength are separate concepts. A route-dependent row can still be Core once its condition is met.</t>
  </si>
  <si>
    <t>Use Condition for machine-readable applicability. Use Requirement_Level only for Core, Core-derived, Recommended, or Optional; FLAG-conditional is retired.</t>
  </si>
  <si>
    <t>Scope 1 Data Schema — Build Guide, §§4, 8–9.</t>
  </si>
  <si>
    <t>FLAG-004</t>
  </si>
  <si>
    <t>S1-STC-060; S1-STC-070; S1-STC-480; S1-STC-490</t>
  </si>
  <si>
    <t>method_limitation</t>
  </si>
  <si>
    <t>CEMS directly supplies CO2; CH4 and N2O require a separately selected HHV/default fuel-factor path.</t>
  </si>
  <si>
    <t>Use cems_fuel_quantity and selected_cems_nonco2_method to populate S1-STC-490. Do not treat fuel_based_carbon_content as a CH4/N2O method.</t>
  </si>
  <si>
    <t>FLAG-005</t>
  </si>
  <si>
    <t>quantity_purchased; inventory_opening; inventory_closing; quantity_feedstock; quantity_spilled; quantity_fugitive_loss</t>
  </si>
  <si>
    <t>conditional_route</t>
  </si>
  <si>
    <t>Purchase quantities do not necessarily equal quantities combusted when storage changes, feedstock use, spills, or fugitive losses occur.</t>
  </si>
  <si>
    <t>Use the adjustment route only when direct combustion data are unavailable or purchase/storage records require reconciliation.</t>
  </si>
  <si>
    <t>FLAG-006</t>
  </si>
  <si>
    <t>operating_hours; hourly_fuel_consumption_rate</t>
  </si>
  <si>
    <t>Operating-hour estimation is a fallback for an insignificant stationary source when direct fuel or purchase data are impractical.</t>
  </si>
  <si>
    <t>Require an estimate flag and retain the basis; do not substitute this route for readily available direct fuel data.</t>
  </si>
  <si>
    <t>FLAG-007</t>
  </si>
  <si>
    <t>distance_based_onroad; fuel_based_nonroad</t>
  </si>
  <si>
    <t>S1-MOB-460; selected_co2_calculation_method; selected_nonco2_calculation_method; S1-MOB-040/070/090/230/250</t>
  </si>
  <si>
    <t>method_branch</t>
  </si>
  <si>
    <t>Mobile CO2 and CH4/N2O use simultaneous but different method families; one generic method selector cannot represent both.</t>
  </si>
  <si>
    <t>Maintain one selected CO2 method and one selected non-CO2 method for every mobile asset-period; on-road uses distance for CH4/N2O and non-road uses fuel.</t>
  </si>
  <si>
    <t>FLAG-008</t>
  </si>
  <si>
    <t>fuel_economy; distance_traveled; estimated_quantity_combusted</t>
  </si>
  <si>
    <t>Fuel-economy conversion is less preferable than actual fuel-use or distance data.</t>
  </si>
  <si>
    <t>Use only when one direct activity measure is unavailable, retain the factor source, and flag the result as estimated.</t>
  </si>
  <si>
    <t>U.S. EPA, Direct Emissions from Mobile Combustion Source (Dec. 2023), §4.1, pp. 7–8.</t>
  </si>
  <si>
    <t>FLAG-009</t>
  </si>
  <si>
    <t>equipment_charge; default_emission_factor; estimated_emissions</t>
  </si>
  <si>
    <t>method_uncertainty</t>
  </si>
  <si>
    <t>The screening method has relatively high uncertainty and is intended primarily for screening or immaterial-source estimation.</t>
  </si>
  <si>
    <t>Use a more accurate purchased-gas or material-balance method when emissions are significant and sufficient data are available.</t>
  </si>
  <si>
    <t>U.S. EPA, Direct Fugitive Emissions from Refrigeration, Air Conditioning, Fire Suppression, and Industrial Gases (Dec. 2023), §§2.1, 4, pp. 4–5, 15.</t>
  </si>
  <si>
    <t>FLAG-010</t>
  </si>
  <si>
    <t>amount_purchased; amount_returned; emissions_gas</t>
  </si>
  <si>
    <t>method_assumption</t>
  </si>
  <si>
    <t>The purchased-gas method assumes purchased gases are used and released during the reporting period, subject to any returns.</t>
  </si>
  <si>
    <t>Use material balance when stock changes, equipment charging, or other inventory movements are material.</t>
  </si>
  <si>
    <t>U.S. EPA, Direct Fugitive Emissions from Refrigeration, Air Conditioning, Fire Suppression, and Industrial Gases (Dec. 2023), §2.2, pp. 5–6.</t>
  </si>
  <si>
    <t>FLAG-011</t>
  </si>
  <si>
    <t>refrigerant_added; equipment_charge; equipment_disposed</t>
  </si>
  <si>
    <t>The simplified material-balance method is appropriate only where refrigerant is not held in inventory and no equipment retrofits occur.</t>
  </si>
  <si>
    <t>Use the full material-balance method when either condition is not met.</t>
  </si>
  <si>
    <t>FLAG-012</t>
  </si>
  <si>
    <t>TBD</t>
  </si>
  <si>
    <t>S1-FUG-130/140/430/440; S1-FUG-150/180/190/450; SF6 electrical equipment; methane equipment leaks</t>
  </si>
  <si>
    <t>source_gap</t>
  </si>
  <si>
    <t>The supplied fugitive guidance focuses on refrigeration, air conditioning, fire suppression, and purchased industrial gases; it does not provide a complete SF6 electrical-equipment or methane equipment-leak calculation method.</t>
  </si>
  <si>
    <t>Keep the dedicated SF6 and methane/gas-system evidence registers. Do not create automated emissions outputs until verified calculation sources are approved.</t>
  </si>
  <si>
    <t>U.S. EPA, Direct Fugitive Emissions from Refrigeration, Air Conditioning, Fire Suppression, and Industrial Gases (Dec. 2023), §1, p. 1.</t>
  </si>
  <si>
    <t>Open</t>
  </si>
  <si>
    <t>FLAG-013</t>
  </si>
  <si>
    <t>mass_balance; emission_factor; direct_measurement</t>
  </si>
  <si>
    <t>all PRC accounting rows</t>
  </si>
  <si>
    <t>deferred_module</t>
  </si>
  <si>
    <t>Process emissions are sector-specific and are intentionally scaffolded rather than fully specified in this pass.</t>
  </si>
  <si>
    <t>Retain only the PRC source identifier and attribute scaffold in 1_Schema. Sector-specific candidates remain internal and are not included in the delivered workbook.</t>
  </si>
  <si>
    <t>GHG Protocol Corporate Standard, Ch. 4, p. 27; Scope 1 Data Schema — Build Guide, §1.</t>
  </si>
  <si>
    <t>Deferred</t>
  </si>
  <si>
    <t>FLAG-014</t>
  </si>
  <si>
    <t>emissions_co2e; 2_Cross_Layer_Edges</t>
  </si>
  <si>
    <t>general_layer_dependency</t>
  </si>
  <si>
    <t>GWP set selection and values are controlled in General GAS-030 and are applied to Scope 1 gas outputs through derivation edges.</t>
  </si>
  <si>
    <t>Keep all GAS-030 relationships in the cross-layer edge table; never place GAS-030 in Scope 1 Derived_From.</t>
  </si>
  <si>
    <t>SB253 General Methodology Schema, GAS-030.</t>
  </si>
  <si>
    <t>FLAG-015</t>
  </si>
  <si>
    <t>estimate_flag; estimate_basis; source_document_id; coverage/allocation metadata; method claim rows</t>
  </si>
  <si>
    <t>anchor_separation</t>
  </si>
  <si>
    <t>System routing and provenance fields are not prescribed calculation inputs, while method_variant is a separate company-documented method claim.</t>
  </si>
  <si>
    <t>Keep system-routing metadata in evidence-derived verifier-determined rows, identifiers in assigned companion rows, and method_variant in separate extracted method-claim rows.</t>
  </si>
  <si>
    <t>Scope 1 Data Schema — Build Guide, §§4, 7–8.</t>
  </si>
  <si>
    <t>FLAG-016</t>
  </si>
  <si>
    <t>Derived_From; selector rows; identifier companion rows</t>
  </si>
  <si>
    <t>dependency_semantics</t>
  </si>
  <si>
    <t>Some calculation methods accept mutually exclusive direct, adjusted, or estimated activity inputs. A flat semicolon list can be misread as requiring every listed input simultaneously.</t>
  </si>
  <si>
    <t>Use selector value rows for the normalized quantity/distance/capacity and separate assigned identifier rows for selected upstream Field_ID provenance. ONE-OF semantics remain documented in Notes_Flags.</t>
  </si>
  <si>
    <t>Scope 1 Data Schema — Build Guide, §§4, 8–9; internal formula-lineage design.</t>
  </si>
  <si>
    <t>FLAG-017</t>
  </si>
  <si>
    <t>S1-FUG-080; S1-FUG-090; S1-FUG-120; S1-FUG-210; S1-FUG-420</t>
  </si>
  <si>
    <t>vocabulary_gap</t>
  </si>
  <si>
    <t>The current Vocabulary Library has no clean canonical type covering purchased and used industrial gases across CO2, CH4, N2O, HFCs, PFCs, SF6, and NF3, and no dedicated gas-density conversion record. CT-S1-FGASPROC and CT-S1-EFREF are semantically too narrow.</t>
  </si>
  <si>
    <t>Leave Vocabulary_Reference blank for the listed industrial-gas purchase, density, allocation, and identifier rows until the vocabulary owner broadens an existing type or approves a new canonical type.</t>
  </si>
  <si>
    <t>Vocabulary_Library_v1.0.xlsx, CT-S1-FGASPROC and CT-S1-EFREF definitions; Scope 1 Data Schema — Build Guide, §§4 and 8.</t>
  </si>
  <si>
    <t>FLAG-018</t>
  </si>
  <si>
    <t>Block; Grain; Value_Origin; Condition; Calculation_Role</t>
  </si>
  <si>
    <t>three_file_alignment</t>
  </si>
  <si>
    <t>Scope 1 uses the approved 20-column frame and now includes the final Q1–Q4 integration contract.</t>
  </si>
  <si>
    <t>Maintain S1-OUT, explicit shared-key FKs, internal-only Derived_From, and the final 13-column edge table.</t>
  </si>
  <si>
    <t>Three-file structural compatibility review; Scope 2 v1 Column_Definitions and Controlled_Vocabularies.</t>
  </si>
  <si>
    <t>FLAG-019</t>
  </si>
  <si>
    <t>computed_output; Value_Origin; Derived_From</t>
  </si>
  <si>
    <t>reported_value_convention</t>
  </si>
  <si>
    <t>Across the shared schemas, computed_output stores the company's reported result, while the system independently re-derives it for verification.</t>
  </si>
  <si>
    <t>Set Value_Origin = extracted for computed_output rows and Value_Origin = computed for computed_intermediate rows. Use Derived_From only for same-layer re-derivation lineage.</t>
  </si>
  <si>
    <t>Scope 2 v1 README and Controlled_Vocabularies; General Methodology Schema README.</t>
  </si>
  <si>
    <t>FLAG-020</t>
  </si>
  <si>
    <t>internal proposed candidates</t>
  </si>
  <si>
    <t>delivery_scope</t>
  </si>
  <si>
    <t>Unapproved calculation candidates are useful for future source expansion but are not part of the approved Scope 1 schema.</t>
  </si>
  <si>
    <t>Do not include the Proposed tab in this delivered workbook. Retain candidate content internally for later promotion after source and method approval.</t>
  </si>
  <si>
    <t>Internal schema-governance decision.</t>
  </si>
  <si>
    <t>FLAG-021</t>
  </si>
  <si>
    <t>Scope 2 v1 compatibility</t>
  </si>
  <si>
    <t>cross_file_migration</t>
  </si>
  <si>
    <t>Scope 2 v1 still requires migration to the same final cross-layer edge standard and shared-key contract.</t>
  </si>
  <si>
    <t>Apply the analogous Q1–Q4 interface migration to Scope 2 before a three-file physical merge.</t>
  </si>
  <si>
    <t>Sustentra_Scope2_Data_Schema_v1.xlsx, Column_Definitions and S2_Schema.</t>
  </si>
  <si>
    <t>FLAG-022</t>
  </si>
  <si>
    <t>S1-OUT-010; S1-OUT-020; S1-OUT-030; 5_Output_Mapping; RUP-010; BIO-010</t>
  </si>
  <si>
    <t>output_interface</t>
  </si>
  <si>
    <t>Method-specific Scope 1 outputs had incompatible source-level shapes and lacked a declared field-to-gas normalization map.</t>
  </si>
  <si>
    <t>Use the three-row S1-OUT block at emission_source × gas grain and the Output_Mapping sheet. Route non-biogenic gas quantities to RUP-010 and biogenic CO2 to BIO-010.</t>
  </si>
  <si>
    <t>Confirmed Q1 integration decision.</t>
  </si>
  <si>
    <t>FLAG-023</t>
  </si>
  <si>
    <t>inventory_id; facility_id; reporting_period_ref</t>
  </si>
  <si>
    <t>shared_key_contract</t>
  </si>
  <si>
    <t>No shared wrapper exists; General-owned keys must be explicit on Scope 1 records.</t>
  </si>
  <si>
    <t>Maintain explicit INV-010, FAC-010, and PER-010 FKs on the approved registers, activity/event records, and S1-OUT.</t>
  </si>
  <si>
    <t>Confirmed Q2 integration decision.</t>
  </si>
  <si>
    <t>FLAG-024</t>
  </si>
  <si>
    <t>S1-FUG-210; S1-FUG-220; S1-FUG-230; PER-020</t>
  </si>
  <si>
    <t>allocation_ownership</t>
  </si>
  <si>
    <t>Scope 1 previously duplicated General reporting-period allocation ownership.</t>
  </si>
  <si>
    <t>Keep expected_years_usage as Scope 1 method-specific basis, keep S1-FUG-220 deprecated, and consume General PER-020.allocated_quantity after General adds usage_based.</t>
  </si>
  <si>
    <t>Confirmed Q3 integration decision; U.S. EPA fugitive guidance §2.2, p. 6.</t>
  </si>
  <si>
    <t>FLAG-025</t>
  </si>
  <si>
    <t>edge_contract</t>
  </si>
  <si>
    <t>The final edge contract now uses scope-owned EDG-S1-nnn identifiers and includes the missing OPB and MTH dependencies.</t>
  </si>
  <si>
    <t>Keep IDs in the EDG-S1-nnn namespace; maintain Condition and Transformation; keep all cross-layer relationships out of Derived_From.</t>
  </si>
  <si>
    <t>Confirmed Q4 integration decision.</t>
  </si>
  <si>
    <t>FLAG-026</t>
  </si>
  <si>
    <t>versioning_gap</t>
  </si>
  <si>
    <t>The supplied General workbook has no stable formal schema version.</t>
  </si>
  <si>
    <t>Replace the filename-based GEN_Version with the approved General release ID before engineering handoff.</t>
  </si>
  <si>
    <t>Current General workbook metadata.</t>
  </si>
  <si>
    <t>FLAG-027</t>
  </si>
  <si>
    <t>S1-OUT-020; Value_Origin; source-level emissions_co2e</t>
  </si>
  <si>
    <t>Normalization changes the record shape but does not change the origin of the company's reported gas quantities.</t>
  </si>
  <si>
    <t>Keep S1-OUT-020 as computed_output with Value_Origin = extracted. Retain source-level reported emissions_co2e in the original method rows for reconciliation; derive facility CO2e separately in General.</t>
  </si>
  <si>
    <t>Confirmed Scope 1 output-interface convention.</t>
  </si>
  <si>
    <t>FLAG-028</t>
  </si>
  <si>
    <t>S1-STC-480; S1-MOB-460; S1-FUG-480; S1-FUG-490; S1-FUG-500</t>
  </si>
  <si>
    <t>method_selector</t>
  </si>
  <si>
    <t>Executable method selectors are now declared at the grains where conditions are evaluated.</t>
  </si>
  <si>
    <t>Maintain the stationary/fugitive primary selectors and the separate mobile CO2/non-CO2 selectors; enforce the corresponding invariants.</t>
  </si>
  <si>
    <t>Action 1 item 1 resolution.</t>
  </si>
  <si>
    <t>FLAG-029</t>
  </si>
  <si>
    <t>S1-STC-450; S1-MOB-430; S1-FUG-460</t>
  </si>
  <si>
    <t>join_key</t>
  </si>
  <si>
    <t>Calculation records lacked source and reporting-period join keys.</t>
  </si>
  <si>
    <t>Maintain explicit source and reporting-period keys so method_variant and S1-OUT method traces remain resolvable.</t>
  </si>
  <si>
    <t>Action 1 item 2 resolution.</t>
  </si>
  <si>
    <t>FLAG-030</t>
  </si>
  <si>
    <t>STC; MOB</t>
  </si>
  <si>
    <t>fuel_based_hhv; fuel_based_default; fuel_based_carbon_content</t>
  </si>
  <si>
    <t>1_Schema Conditions; 5_Output_Mapping; 6_Interface_Invariants</t>
  </si>
  <si>
    <t>normalization_exclusivity</t>
  </si>
  <si>
    <t>Base and biogenic-split mappings could both fire for the same source-period gas.</t>
  </si>
  <si>
    <t>Require zero biogenic fraction on base paths and enforce exactly one active mapping per source × period × gas × biogenic_flag.</t>
  </si>
  <si>
    <t>Action 1 item 3 resolution.</t>
  </si>
  <si>
    <t>FLAG-031</t>
  </si>
  <si>
    <t>screening; purchased_gas; material_balance; simplified_material_balance</t>
  </si>
  <si>
    <t>S1-OUT-MAP-037 to S1-OUT-MAP-041</t>
  </si>
  <si>
    <t>gas_identity</t>
  </si>
  <si>
    <t>The FUG mappings referenced a non-existent source_gas_type field.</t>
  </si>
  <si>
    <t>Use the exact gas_type field and source row identified in each mapping.</t>
  </si>
  <si>
    <t>Action 1 item 4 resolution.</t>
  </si>
  <si>
    <t>FLAG-032</t>
  </si>
  <si>
    <t>cross_layer_completeness</t>
  </si>
  <si>
    <t>Scope classification and selected shared-key relationships were missing from the cross-layer edge contract.</t>
  </si>
  <si>
    <t>Retain calculation-period, OPB-010 scope, and MTH-020 methodology-source edges in the master edge merge.</t>
  </si>
  <si>
    <t>Action 2 resolution.</t>
  </si>
  <si>
    <t>FLAG-033</t>
  </si>
  <si>
    <t>STC; MOB; FUG</t>
  </si>
  <si>
    <t>mth_020_ref; MTH-020</t>
  </si>
  <si>
    <t>general_key_gap</t>
  </si>
  <si>
    <t>Scope 1 needs an MTH-020 reference, but General MTH-020 has no stable record key or explicit source_category_ref.</t>
  </si>
  <si>
    <t>Keep the three companion mth_020_ref rows Recommended and the MTH edges Pending_GEN_Update. After General adds a stable MTH-020 key and source-category discriminator, activate the edges and promote the references as required.</t>
  </si>
  <si>
    <t>Action 2 item 3 resolution.</t>
  </si>
  <si>
    <t>FLAG-034</t>
  </si>
  <si>
    <t>Condition; S1-STC-500; S1-STC-520; S1-MOB-470; S1-FUG-530</t>
  </si>
  <si>
    <t>runtime_field_integrity</t>
  </si>
  <si>
    <t>Four Condition variables were referenced without a declared schema field.</t>
  </si>
  <si>
    <t>Use the newly declared selector, availability, and unit-classifier rows; automated validation must reject future dangling Condition variables.</t>
  </si>
  <si>
    <t>Final internal schema review.</t>
  </si>
  <si>
    <t>FLAG-035</t>
  </si>
  <si>
    <t>S1-STC-140; S1-MOB-140; S1-FUG-170</t>
  </si>
  <si>
    <t>value_origin_integrity</t>
  </si>
  <si>
    <t>method_variant was mixed into verifier-determined metadata even though it is the company's documented method claim.</t>
  </si>
  <si>
    <t>Keep method_variant in separate extracted rows and retain executable selected_calculation_method in computed selector rows.</t>
  </si>
  <si>
    <t>FLAG-036</t>
  </si>
  <si>
    <t>screening; material_balance; simplified_material_balance</t>
  </si>
  <si>
    <t>S1-FUG-510; S1-FUG-520; S1-OUT-010</t>
  </si>
  <si>
    <t>source_key_integrity</t>
  </si>
  <si>
    <t>Equipment-group and system outputs lacked stable source identifiers for S1-OUT traceability.</t>
  </si>
  <si>
    <t>Use equipment_group_id and system_id as the normalized source_id for the applicable fugitive mappings.</t>
  </si>
  <si>
    <t>FLAG-037</t>
  </si>
  <si>
    <t>all source computed_output rows; gas_emissions_unit; co2e_unit; S1-OUT-020; S1-OUT-INV-004</t>
  </si>
  <si>
    <t>unit_contract</t>
  </si>
  <si>
    <t>The source-output unit was not previously declared, so the metric-tonne interface rule could not be evaluated.</t>
  </si>
  <si>
    <t>Maintain gas_emissions_unit on every source computed-output row, require metric_tonne before normalization, and keep co2e_unit separate for reported CO2e fields.</t>
  </si>
  <si>
    <t>FLAG-038</t>
  </si>
  <si>
    <t>S1-STC-360; S1-STC-370; mixed-origin complex waste gas</t>
  </si>
  <si>
    <t>method_coverage_limitation</t>
  </si>
  <si>
    <t>The complex waste-gas route now covers CO2, CH4, and N2O, but no approved automated split exists when the stream contains both fossil and biogenic carbon.</t>
  </si>
  <si>
    <t>Use the automated complex-waste-gas route only for fossil-only streams. Route mixed-origin streams to manual review.</t>
  </si>
  <si>
    <t>Current Scope 1 method coverage review.</t>
  </si>
  <si>
    <t>FLAG-039</t>
  </si>
  <si>
    <t>GAS-010; GAS-030; NF3; GWP reference dataset</t>
  </si>
  <si>
    <t>general_dependency</t>
  </si>
  <si>
    <t>General GAS-010 still reflects the six-gas list while Scope 1 includes NF3, and the external GWP reference dataset is not yet loaded.</t>
  </si>
  <si>
    <t>Align the General gas universe and load the approved GWP dataset before production CO2e validation.</t>
  </si>
  <si>
    <t>General schema compatibility review.</t>
  </si>
  <si>
    <t>FLAG-040</t>
  </si>
  <si>
    <t>S1-STC-450; S1-MOB-430; S1-FUG-460; S1-STC-140; S1-MOB-140; S1-FUG-170; S1-OUT-010</t>
  </si>
  <si>
    <t>traceability_requirement</t>
  </si>
  <si>
    <t>A Core normalized output trace depended on calculation-record and documented-method rows marked Recommended.</t>
  </si>
  <si>
    <t>Keep calculation-record identifiers and documented method claims at Requirement_Level = Core.</t>
  </si>
  <si>
    <t>Second-pass internal review.</t>
  </si>
  <si>
    <t>FLAG-041</t>
  </si>
  <si>
    <t>selected_carbon_content_route; S1-STC-240 to S1-STC-360; 5_Output_Mapping; S1-STC-INV-001</t>
  </si>
  <si>
    <t>route_exclusivity</t>
  </si>
  <si>
    <t>The standard-fuel and complex-waste-gas carbon-content outputs could previously fire for the same source-period.</t>
  </si>
  <si>
    <t>Maintain the explicit standard_fuel versus complex_waste_gas selector and its exclusivity invariant.</t>
  </si>
  <si>
    <t>Detailed third-pass internal review.</t>
  </si>
  <si>
    <t>FLAG-042</t>
  </si>
  <si>
    <t>5_Output_Mapping.Source_ID_From; 5_Output_Mapping.Method_Variant_Ref_From; S1-OUT-INV-005</t>
  </si>
  <si>
    <t>normalization_trace_contract</t>
  </si>
  <si>
    <t>The value mapping was explicit, but source_id and method_variant_ref were still partly inferred from block conventions and notes.</t>
  </si>
  <si>
    <t>Maintain explicit source-key and calculation-record reference columns for every active output mapping.</t>
  </si>
  <si>
    <t>FLAG-043</t>
  </si>
  <si>
    <t>S1-MOB-140; S1-MOB-400; S1-MOB-460; S1-MOB-INV-001</t>
  </si>
  <si>
    <t>mobile_dual_method_contract</t>
  </si>
  <si>
    <t>A single mobile selected_calculation_method prevented CO2 and CH4/N2O methods from operating simultaneously.</t>
  </si>
  <si>
    <t>Use separate CO2 and non-CO2 method claims/selectors and enforce source-class consistency.</t>
  </si>
  <si>
    <t>Detailed final methodology review; U.S. EPA Mobile Guidance §§2–4.</t>
  </si>
  <si>
    <t>FLAG-044</t>
  </si>
  <si>
    <t>S1-FUG-010 to S1-FUG-070; S1-FUG-480; S1-FUG-INV-001</t>
  </si>
  <si>
    <t>screening_branch_contract</t>
  </si>
  <si>
    <t>Refrigeration/AC and fire-suppression screening rows previously shared the same condition and could both fire.</t>
  </si>
  <si>
    <t>Use selected_screening_source_type to activate exactly one screening branch.</t>
  </si>
  <si>
    <t>Detailed final methodology review; U.S. EPA Fugitive Guidance §§2.1.1–2.1.2.</t>
  </si>
  <si>
    <t>FLAG-045</t>
  </si>
  <si>
    <t>cems; fuel_based_carbon_content</t>
  </si>
  <si>
    <t>selected_cems_nonco2_method; selected_carbon_content_nonco2_method; S1-STC-270; S1-STC-370; S1-STC-490</t>
  </si>
  <si>
    <t>nonco2_method_contract</t>
  </si>
  <si>
    <t>Carbon-content and CEMS routes need an explicit HHV/default factor family for CH4/N2O.</t>
  </si>
  <si>
    <t>Permit only fuel_based_hhv or fuel_based_default for these non-CO2 paths.</t>
  </si>
  <si>
    <t>U.S. EPA Stationary Guidance §2.1, pp. 3–4; §3.3, p. 10.</t>
  </si>
  <si>
    <t>FLAG-046</t>
  </si>
  <si>
    <t>5_Output_Mapping.Inventory_ID_From through Method_Variant_Ref_From; S1-OUT-INV-003/005</t>
  </si>
  <si>
    <t>normalized_key_contract</t>
  </si>
  <si>
    <t>The output mapping did not explicitly identify every General key and source-block value carried into S1-OUT.</t>
  </si>
  <si>
    <t>Maintain explicit inventory, facility, period, source, source-block, and method-reference columns for every mapping.</t>
  </si>
  <si>
    <t>Final integration-contract review.</t>
  </si>
  <si>
    <t>FLAG-047</t>
  </si>
  <si>
    <t>S1-STC-050; S1-STC-400; S1-STC-410; S1-STC-470; S1-CEMS-INV-003</t>
  </si>
  <si>
    <t>cems_record_integrity</t>
  </si>
  <si>
    <t>CEMS interval values previously lacked complete monitor/equipment/document keys and distinct measurement units.</t>
  </si>
  <si>
    <t>Maintain the complete interval-record join and field-specific unit fields.</t>
  </si>
  <si>
    <t>Final stationary-method review; U.S. EPA Stationary Guidance §2.1.</t>
  </si>
  <si>
    <t>FLAG-048</t>
  </si>
  <si>
    <t>deferred</t>
  </si>
  <si>
    <t>S1-FUG-180; S1-FUG-190; S1-FUG-450</t>
  </si>
  <si>
    <t>methane_register_integrity</t>
  </si>
  <si>
    <t>Methane leak inspection records were incorrectly linked to the refrigerant/fire-suppression equipment register.</t>
  </si>
  <si>
    <t>Use the dedicated methane/gas-system equipment register while leaving the calculation method deferred.</t>
  </si>
  <si>
    <t>Final evidence-register review.</t>
  </si>
  <si>
    <t>FLAG-049</t>
  </si>
  <si>
    <t>0_README; final 20-column schema; 2_Cross_Layer_Edges; 5_Output_Mapping</t>
  </si>
  <si>
    <t>superseded_build_guide</t>
  </si>
  <si>
    <t>The earlier Scope 1 build guide contains obsolete 16-column, five-tab, FLAG-conditional, cross-layer Derived_From, and Proposed-tab instructions.</t>
  </si>
  <si>
    <t>Treat this workbook's README and controlled vocabularies as the current contract. Do not reintroduce superseded guide rules.</t>
  </si>
  <si>
    <t>Approved Q1–Q4 and subsequent integration decisions.</t>
  </si>
  <si>
    <t>Meaning</t>
  </si>
  <si>
    <t>Condition syntax</t>
  </si>
  <si>
    <t>canonical_type_id</t>
  </si>
  <si>
    <t>Canonical type</t>
  </si>
  <si>
    <t>Data category</t>
  </si>
  <si>
    <t>Working definition</t>
  </si>
  <si>
    <t>Edge attribute</t>
  </si>
  <si>
    <t>Allowed value</t>
  </si>
  <si>
    <t>Selector field</t>
  </si>
  <si>
    <t>Permitted value</t>
  </si>
  <si>
    <t>Mapping attribute</t>
  </si>
  <si>
    <t>Stationary combustion</t>
  </si>
  <si>
    <t>activity record</t>
  </si>
  <si>
    <t>activity estimation</t>
  </si>
  <si>
    <t>Primary or foreign key; not a boundary determination.</t>
  </si>
  <si>
    <t>A submitted or reference document carries the stored value.</t>
  </si>
  <si>
    <t>Required when the row's Condition is true.</t>
  </si>
  <si>
    <t>The cited source explicitly supports the field group.</t>
  </si>
  <si>
    <t>blank</t>
  </si>
  <si>
    <t>Always applies.</t>
  </si>
  <si>
    <t>GHG Accounting Workbook</t>
  </si>
  <si>
    <t>disclosure_output</t>
  </si>
  <si>
    <t>Cross-category calculation workbook or emissions ledger.</t>
  </si>
  <si>
    <t>General supplies a key, parameter, classification, or derived input consumed by Scope 1.</t>
  </si>
  <si>
    <t>selected_calculation_method</t>
  </si>
  <si>
    <t>Stationary direct CO2 monitoring route.</t>
  </si>
  <si>
    <t>Reshape a reported source output into one source × gas interface record without changing value origin.</t>
  </si>
  <si>
    <t>Mobile combustion</t>
  </si>
  <si>
    <t>calculation record</t>
  </si>
  <si>
    <t>parameter</t>
  </si>
  <si>
    <t>Scope-neutral configuration or elected parameter.</t>
  </si>
  <si>
    <t>The system derives the value from other fields; no document request is appropriate.</t>
  </si>
  <si>
    <t>Core-derived</t>
  </si>
  <si>
    <t>Necessary input to a Core output even when the immediate source wording is should-level.</t>
  </si>
  <si>
    <t>The field group exists because an evidence or system record carries it.</t>
  </si>
  <si>
    <t>Equality.</t>
  </si>
  <si>
    <t>Facility and Site Inventory</t>
  </si>
  <si>
    <t>organizational_boundary</t>
  </si>
  <si>
    <t>Facility, site, and source inventory supporting coverage and mapping.</t>
  </si>
  <si>
    <t>Scope 1 supplies an input or normalized output consumed by General.</t>
  </si>
  <si>
    <t>Stationary HHV fuel-analysis route.</t>
  </si>
  <si>
    <t>Scope1_CO2e_Treatment</t>
  </si>
  <si>
    <t>include_in_scope1_co2e</t>
  </si>
  <si>
    <t>The gas record participates in Scope 1 CO2e derivation.</t>
  </si>
  <si>
    <t>Fugitive emissions</t>
  </si>
  <si>
    <t>component inspection</t>
  </si>
  <si>
    <t>distance based onroad</t>
  </si>
  <si>
    <t>Inclusion, routing, or applicability determination.</t>
  </si>
  <si>
    <t>A verifier or controlled review workflow determines the value.</t>
  </si>
  <si>
    <t>Should-level or preferred practice.</t>
  </si>
  <si>
    <t>IN (...)</t>
  </si>
  <si>
    <t>Membership in an enumerated set.</t>
  </si>
  <si>
    <t>Stationary Fuel Consumption Record</t>
  </si>
  <si>
    <t>Stationary combustion fuel quantity records, including bills, meter data, and delivery records.</t>
  </si>
  <si>
    <t>Straight reference or value consumption with no transformation.</t>
  </si>
  <si>
    <t>Stationary default mass/volume-factor route.</t>
  </si>
  <si>
    <t>exclude_from_scope1_co2e</t>
  </si>
  <si>
    <t>Biogenic CO2 is reported separately through BIO-010.</t>
  </si>
  <si>
    <t>Process emissions</t>
  </si>
  <si>
    <t>emission factor set</t>
  </si>
  <si>
    <t>fuel based</t>
  </si>
  <si>
    <t>Measured or estimated operating quantity.</t>
  </si>
  <si>
    <t>Internal identifier or pointer assigned by the system.</t>
  </si>
  <si>
    <t>May-level or elective practice.</t>
  </si>
  <si>
    <t>IS NULL / IS NOT NULL</t>
  </si>
  <si>
    <t>Missing-value test.</t>
  </si>
  <si>
    <t>Fuel Property or Fuel Analysis Record</t>
  </si>
  <si>
    <t>Fuel carbon content, heat content, density, composition, or laboratory analysis.</t>
  </si>
  <si>
    <t>Roll up from a finer grain to a coarser grain.</t>
  </si>
  <si>
    <t>Stationary carbon-content CO2 route.</t>
  </si>
  <si>
    <t>Implemented in the current output interface.</t>
  </si>
  <si>
    <t>Normalized Scope 1 output interface</t>
  </si>
  <si>
    <t>fuel based carbon content</t>
  </si>
  <si>
    <t>Fuel, gas, or material characteristic.</t>
  </si>
  <si>
    <t>&gt;</t>
  </si>
  <si>
    <t>Numeric comparison.</t>
  </si>
  <si>
    <t>On-site Energy Generation Operations Record</t>
  </si>
  <si>
    <t>Operating records for owned on-site generators and stationary energy systems.</t>
  </si>
  <si>
    <t>unit_conversion</t>
  </si>
  <si>
    <t>Convert a value to the target canonical unit.</t>
  </si>
  <si>
    <t>Fugitive screening route.</t>
  </si>
  <si>
    <t>Deprecated</t>
  </si>
  <si>
    <t>Retained only for lineage and not used by the current interface.</t>
  </si>
  <si>
    <t>equipment group × reporting period</t>
  </si>
  <si>
    <t>fuel based default</t>
  </si>
  <si>
    <t>Emission rate and factor provenance.</t>
  </si>
  <si>
    <t>true / false</t>
  </si>
  <si>
    <t>Boolean literal.</t>
  </si>
  <si>
    <t>Direct Emissions Monitoring Record</t>
  </si>
  <si>
    <t>CEMS or other direct-monitoring records used to quantify emissions.</t>
  </si>
  <si>
    <t>Apply a parameter or rule to compute a new value.</t>
  </si>
  <si>
    <t>Purchased industrial-gas route.</t>
  </si>
  <si>
    <t>Source_Block_Value</t>
  </si>
  <si>
    <t>Stationary combustion.</t>
  </si>
  <si>
    <t>equipment × measurement interval</t>
  </si>
  <si>
    <t>fuel based hhv</t>
  </si>
  <si>
    <t>GWP set or basis.</t>
  </si>
  <si>
    <t>AND / OR</t>
  </si>
  <si>
    <t>Boolean composition. Parentheses are required where precedence could be ambiguous.</t>
  </si>
  <si>
    <t>Mobile Fuel Consumption Record</t>
  </si>
  <si>
    <t>Fleet and mobile-equipment fuel-use data.</t>
  </si>
  <si>
    <t>One Scope 1 record corresponds to one General record.</t>
  </si>
  <si>
    <t>Full fugitive material-balance route.</t>
  </si>
  <si>
    <t>Mobile combustion.</t>
  </si>
  <si>
    <t>equipment × reporting period</t>
  </si>
  <si>
    <t>fuel based nonroad</t>
  </si>
  <si>
    <t>System-derived value feeding another calculation.</t>
  </si>
  <si>
    <t>Mobile Transport Activity Record</t>
  </si>
  <si>
    <t>Distance, odometer, hours, freight, or other mobile activity records.</t>
  </si>
  <si>
    <t>One General record supplies many Scope 1 records.</t>
  </si>
  <si>
    <t>Simplified fugitive material-balance route.</t>
  </si>
  <si>
    <t>Fugitive emissions.</t>
  </si>
  <si>
    <t>fuel property record</t>
  </si>
  <si>
    <t>fuel inventory adjustment</t>
  </si>
  <si>
    <t>Company-reported result independently re-derived for verification.</t>
  </si>
  <si>
    <t>Owned or Controlled Mobile Asset Register</t>
  </si>
  <si>
    <t>Register of on-road and non-road mobile assets linked to the inventory.</t>
  </si>
  <si>
    <t>Many Scope 1 records aggregate to one General record.</t>
  </si>
  <si>
    <t>selected_co2_calculation_method</t>
  </si>
  <si>
    <t>Mobile CO2 route using HHV.</t>
  </si>
  <si>
    <t>Process emissions.</t>
  </si>
  <si>
    <t>fuel record</t>
  </si>
  <si>
    <t>material balance</t>
  </si>
  <si>
    <t>Supporting extracted attribute or record.</t>
  </si>
  <si>
    <t>Process Production or Activity Record</t>
  </si>
  <si>
    <t>Process production, throughput, or other sector-specific activity data.</t>
  </si>
  <si>
    <t>Implementable under the current contract.</t>
  </si>
  <si>
    <t>Mobile CO2 route using default factors.</t>
  </si>
  <si>
    <t>fuel transaction</t>
  </si>
  <si>
    <t>purchased gas</t>
  </si>
  <si>
    <t>disclosure</t>
  </si>
  <si>
    <t>Reported presentation or disclosure field.</t>
  </si>
  <si>
    <t>CT-S1-PROCMASS</t>
  </si>
  <si>
    <t>Process Material Balance Record</t>
  </si>
  <si>
    <t>Process input, output, stock, and composition records supporting mass balance.</t>
  </si>
  <si>
    <t>General must change before the edge can become active.</t>
  </si>
  <si>
    <t>Mobile CO2 route using actual carbon content.</t>
  </si>
  <si>
    <t>gas property record</t>
  </si>
  <si>
    <t>CT-S1-PROCMEAS</t>
  </si>
  <si>
    <t>Process Emissions Measurement Record</t>
  </si>
  <si>
    <t>Direct measurements of process emissions.</t>
  </si>
  <si>
    <t>Retained only for lineage and not used by the current contract.</t>
  </si>
  <si>
    <t>selected_nonco2_calculation_method</t>
  </si>
  <si>
    <t>On-road CH4/N2O route.</t>
  </si>
  <si>
    <t>gas purchase</t>
  </si>
  <si>
    <t>simplified material balance</t>
  </si>
  <si>
    <t>Fluorinated Gas Equipment Inventory</t>
  </si>
  <si>
    <t>Inventory of equipment, systems, gas types, and charge capacities.</t>
  </si>
  <si>
    <t>Explicit reference to General INV-010.</t>
  </si>
  <si>
    <t>Non-road CH4/N2O route.</t>
  </si>
  <si>
    <t>gas purchase × reporting period</t>
  </si>
  <si>
    <t>Register or method-neutral row</t>
  </si>
  <si>
    <t>Fluorinated Gas Service or Use Record</t>
  </si>
  <si>
    <t>Refrigerant or fluorinated-gas additions, removals, recovery, and service events.</t>
  </si>
  <si>
    <t>Explicit reference to General FAC-010.</t>
  </si>
  <si>
    <t>mobile_source_class</t>
  </si>
  <si>
    <t>on_road</t>
  </si>
  <si>
    <t>On-road car, truck, or bus.</t>
  </si>
  <si>
    <t>Normalizes approved source outputs to the S1-OUT emission_source × gas interface.</t>
  </si>
  <si>
    <t>Equipment Leak Inspection or Repair Record</t>
  </si>
  <si>
    <t>Leak detection, measurement, repair, and follow-up evidence.</t>
  </si>
  <si>
    <t>Explicit reference to General PER-010.</t>
  </si>
  <si>
    <t>non_road</t>
  </si>
  <si>
    <t>Aircraft, ship, locomotive, forklift, construction, agricultural, or other non-road equipment.</t>
  </si>
  <si>
    <t>mobile asset</t>
  </si>
  <si>
    <t>CT-S1-VENTFLARE</t>
  </si>
  <si>
    <t>Venting, Flaring, or Non-routine Release Event Record</t>
  </si>
  <si>
    <t>Venting, flaring, blowdown, or non-routine release event records.</t>
  </si>
  <si>
    <t>Scope classification supplied by General OPB-010.</t>
  </si>
  <si>
    <t>selected_activity_quantity_route</t>
  </si>
  <si>
    <t>Use direct measured or recorded activity quantity.</t>
  </si>
  <si>
    <t>mobile asset × reporting period</t>
  </si>
  <si>
    <t>CT-S1-COALFUG</t>
  </si>
  <si>
    <t>Coal Mine or Coal Pile Fugitive Activity Record</t>
  </si>
  <si>
    <t>Coal-related fugitive activity and measurement records.</t>
  </si>
  <si>
    <t>General GAS-030 basis applied in a CO2e derivation.</t>
  </si>
  <si>
    <t>Reconcile purchases and storage to quantity combusted.</t>
  </si>
  <si>
    <t>process source</t>
  </si>
  <si>
    <t>Gas Transport, Storage, or Processing Fugitive Record</t>
  </si>
  <si>
    <t>Gas-system fugitive, venting, or leak records.</t>
  </si>
  <si>
    <t>Non-biogenic per-gas output routed to RUP-010.</t>
  </si>
  <si>
    <t>Use an approved operating or activity estimate.</t>
  </si>
  <si>
    <t>service event</t>
  </si>
  <si>
    <t>CT-S1-FGASPROC</t>
  </si>
  <si>
    <t>Process Fluorinated Gas Use Record</t>
  </si>
  <si>
    <t>Industrial-gas purchases, use, release, and process records.</t>
  </si>
  <si>
    <t>Facility CO2e derived from per-gas totals.</t>
  </si>
  <si>
    <t>selected_carbon_content_route</t>
  </si>
  <si>
    <t>standard_fuel</t>
  </si>
  <si>
    <t>Use fuel quantity and actual fuel carbon content.</t>
  </si>
  <si>
    <t>system × reporting period</t>
  </si>
  <si>
    <t>Emission Factor Selection Record</t>
  </si>
  <si>
    <t>Emission-factor source, value, unit, vintage, technology, and geography.</t>
  </si>
  <si>
    <t>Biogenic CO2 routed separately to BIO-010.</t>
  </si>
  <si>
    <t>complex_waste_gas</t>
  </si>
  <si>
    <t>Derive a stream carbon factor from component composition.</t>
  </si>
  <si>
    <t>waste gas stream × reporting period</t>
  </si>
  <si>
    <t>Scope 1 Methodology Statement</t>
  </si>
  <si>
    <t>methodology_assertion</t>
  </si>
  <si>
    <t>Documented calculation method, assumptions, and methodology choices.</t>
  </si>
  <si>
    <t>Scope 1 input supplied to General period allocation.</t>
  </si>
  <si>
    <t>selected_cems_nonco2_method</t>
  </si>
  <si>
    <t>CEMS CH4/N2O path using HHV factors.</t>
  </si>
  <si>
    <t>One normalized Scope 1 output record per emission source and gas.</t>
  </si>
  <si>
    <t>CT-S1-DATAQA</t>
  </si>
  <si>
    <t>Inventory Data Quality or Review Record</t>
  </si>
  <si>
    <t>QA/QC, review, completeness, and data-quality records.</t>
  </si>
  <si>
    <t>General allocated quantity consumed by Scope 1.</t>
  </si>
  <si>
    <t>CEMS CH4/N2O path using default mass/volume factors.</t>
  </si>
  <si>
    <t>One component in one complex waste-gas stream for one reporting period.</t>
  </si>
  <si>
    <t>Measurement Equipment Calibration Record</t>
  </si>
  <si>
    <t>Calibration, maintenance, and quality records for measurement equipment.</t>
  </si>
  <si>
    <t>Scope 1 factor-set reference to General MTH-020.</t>
  </si>
  <si>
    <t>selected_carbon_content_nonco2_method</t>
  </si>
  <si>
    <t>Carbon-content CH4/N2O path using HHV factors.</t>
  </si>
  <si>
    <t>Electrical Equipment SF6 Service or Inventory Record</t>
  </si>
  <si>
    <t>SF6 electrical-equipment inventory and service records.</t>
  </si>
  <si>
    <t>Carbon-content CH4/N2O path using default mass/volume factors.</t>
  </si>
  <si>
    <t>selected_screening_source_type</t>
  </si>
  <si>
    <t>refrigeration_ac</t>
  </si>
  <si>
    <t>Refrigeration or air-conditioning screening branch.</t>
  </si>
  <si>
    <t>fire_suppression</t>
  </si>
  <si>
    <t>Fire-suppression screening branch.</t>
  </si>
  <si>
    <t>mass</t>
  </si>
  <si>
    <t>Purchased-gas quantity is already expressed as mass.</t>
  </si>
  <si>
    <t>volume</t>
  </si>
  <si>
    <t>Purchased-gas quantity requires density conversion to mass.</t>
  </si>
  <si>
    <t>Mapping_ID</t>
  </si>
  <si>
    <t>Source_Output_Field_ID</t>
  </si>
  <si>
    <t>Source_Field</t>
  </si>
  <si>
    <t>Source_Grain</t>
  </si>
  <si>
    <t>Inventory_ID_From</t>
  </si>
  <si>
    <t>Facility_ID_From</t>
  </si>
  <si>
    <t>Reporting_Period_Ref_From</t>
  </si>
  <si>
    <t>Source_ID_From</t>
  </si>
  <si>
    <t>Method_Variant_Ref_From</t>
  </si>
  <si>
    <t>Method_Condition</t>
  </si>
  <si>
    <t>Gas_Assignment</t>
  </si>
  <si>
    <t>Biogenic_Flag</t>
  </si>
  <si>
    <t>Target_S1_OUT_Field_ID</t>
  </si>
  <si>
    <t>Target_Field</t>
  </si>
  <si>
    <t>Unit_Handling</t>
  </si>
  <si>
    <t>S1-OUT-MAP-001</t>
  </si>
  <si>
    <t>emissions_co2</t>
  </si>
  <si>
    <t>S1-STC-100.inventory_id</t>
  </si>
  <si>
    <t>S1-STC-100.facility_id</t>
  </si>
  <si>
    <t>S1-STC-450.reporting_period_ref</t>
  </si>
  <si>
    <t>S1-STC-100.equipment_id</t>
  </si>
  <si>
    <t>S1-STC-450.calculation_record_id</t>
  </si>
  <si>
    <t>emissions_quantity</t>
  </si>
  <si>
    <t>read S1-STC-040.gas_emissions_unit; require 'metric_tonne'; copy to S1-OUT-020.emissions_unit; no conversion</t>
  </si>
  <si>
    <t>Non-biogenic stationary mapping. Biogenic or blended fuel is routed through the corresponding S1-STC-330/340/350 split output.</t>
  </si>
  <si>
    <t>S1-OUT-MAP-002</t>
  </si>
  <si>
    <t>emissions_ch4</t>
  </si>
  <si>
    <t>S1-OUT-MAP-003</t>
  </si>
  <si>
    <t>emissions_n2o</t>
  </si>
  <si>
    <t>N2O</t>
  </si>
  <si>
    <t>S1-OUT-MAP-004</t>
  </si>
  <si>
    <t>annual_emissions_co2</t>
  </si>
  <si>
    <t>read S1-STC-060.gas_emissions_unit; require 'metric_tonne'; copy to S1-OUT-020.emissions_unit; no conversion</t>
  </si>
  <si>
    <t>Map the company-reported gas quantity into one normalized emission_source × gas record.</t>
  </si>
  <si>
    <t>S1-OUT-MAP-005</t>
  </si>
  <si>
    <t>read S1-STC-210.gas_emissions_unit; require 'metric_tonne'; copy to S1-OUT-020.emissions_unit; no conversion</t>
  </si>
  <si>
    <t>S1-OUT-MAP-006</t>
  </si>
  <si>
    <t>S1-OUT-MAP-007</t>
  </si>
  <si>
    <t>S1-OUT-MAP-008</t>
  </si>
  <si>
    <t>read S1-STC-250.gas_emissions_unit; require 'metric_tonne'; copy to S1-OUT-020.emissions_unit; no conversion</t>
  </si>
  <si>
    <t>S1-OUT-MAP-009</t>
  </si>
  <si>
    <t>read S1-STC-270.gas_emissions_unit; require 'metric_tonne'; copy to S1-OUT-020.emissions_unit; no conversion</t>
  </si>
  <si>
    <t>S1-OUT-MAP-010</t>
  </si>
  <si>
    <t>S1-OUT-MAP-011</t>
  </si>
  <si>
    <t>emissions_co2_fossil</t>
  </si>
  <si>
    <t>read S1-STC-330.gas_emissions_unit; require 'metric_tonne'; copy to S1-OUT-020.emissions_unit; no conversion</t>
  </si>
  <si>
    <t>S1-OUT-MAP-012</t>
  </si>
  <si>
    <t>emissions_co2_biogenic</t>
  </si>
  <si>
    <t>Route to BIO-010; never include in Scope 1 CO2e.</t>
  </si>
  <si>
    <t>S1-OUT-MAP-013</t>
  </si>
  <si>
    <t>S1-OUT-MAP-014</t>
  </si>
  <si>
    <t>S1-OUT-MAP-015</t>
  </si>
  <si>
    <t>read S1-STC-340.gas_emissions_unit; require 'metric_tonne'; copy to S1-OUT-020.emissions_unit; no conversion</t>
  </si>
  <si>
    <t>S1-OUT-MAP-016</t>
  </si>
  <si>
    <t>S1-OUT-MAP-017</t>
  </si>
  <si>
    <t>S1-OUT-MAP-018</t>
  </si>
  <si>
    <t>S1-OUT-MAP-019</t>
  </si>
  <si>
    <t>read S1-STC-350.gas_emissions_unit; require 'metric_tonne'; copy to S1-OUT-020.emissions_unit; no conversion</t>
  </si>
  <si>
    <t>S1-OUT-MAP-020</t>
  </si>
  <si>
    <t>S1-OUT-MAP-021</t>
  </si>
  <si>
    <t>S1-OUT-MAP-022</t>
  </si>
  <si>
    <t>S1-OUT-MAP-023</t>
  </si>
  <si>
    <t>S1-STC-510.inventory_id</t>
  </si>
  <si>
    <t>S1-STC-510.facility_id</t>
  </si>
  <si>
    <t>S1-STC-510.reporting_period_ref</t>
  </si>
  <si>
    <t>S1-STC-510.waste_gas_stream_id</t>
  </si>
  <si>
    <t>read S1-STC-360.gas_emissions_unit; require 'metric_tonne'; copy to S1-OUT-020.emissions_unit; no conversion</t>
  </si>
  <si>
    <t>S1-OUT-MAP-024</t>
  </si>
  <si>
    <t>S1-MOB-100.inventory_id</t>
  </si>
  <si>
    <t>S1-MOB-100.facility_id</t>
  </si>
  <si>
    <t>S1-MOB-430.reporting_period_ref</t>
  </si>
  <si>
    <t>S1-MOB-100.vehicle_or_equipment_id</t>
  </si>
  <si>
    <t>S1-MOB-430.calculation_record_id</t>
  </si>
  <si>
    <t>read S1-MOB-040.gas_emissions_unit; require 'metric_tonne'; copy to S1-OUT-020.emissions_unit; no conversion</t>
  </si>
  <si>
    <t>Non-biogenic mobile CO2 mapping. Blended or biogenic fuel is routed through S1-MOB-350/360/370.</t>
  </si>
  <si>
    <t>S1-OUT-MAP-025</t>
  </si>
  <si>
    <t>read S1-MOB-070.gas_emissions_unit; require 'metric_tonne'; copy to S1-OUT-020.emissions_unit; no conversion</t>
  </si>
  <si>
    <t>S1-OUT-MAP-026</t>
  </si>
  <si>
    <t>read S1-MOB-090.gas_emissions_unit; require 'metric_tonne'; copy to S1-OUT-020.emissions_unit; no conversion</t>
  </si>
  <si>
    <t>S1-OUT-MAP-027</t>
  </si>
  <si>
    <t>S1-OUT-MAP-028</t>
  </si>
  <si>
    <t>S1-OUT-MAP-029</t>
  </si>
  <si>
    <t>read S1-MOB-230.gas_emissions_unit; require 'metric_tonne'; copy to S1-OUT-020.emissions_unit; no conversion</t>
  </si>
  <si>
    <t>S1-OUT-MAP-030</t>
  </si>
  <si>
    <t>read S1-MOB-250.gas_emissions_unit; require 'metric_tonne'; copy to S1-OUT-020.emissions_unit; no conversion</t>
  </si>
  <si>
    <t>S1-OUT-MAP-031</t>
  </si>
  <si>
    <t>read S1-MOB-350.gas_emissions_unit; require 'metric_tonne'; copy to S1-OUT-020.emissions_unit; no conversion</t>
  </si>
  <si>
    <t>S1-OUT-MAP-032</t>
  </si>
  <si>
    <t>S1-OUT-MAP-033</t>
  </si>
  <si>
    <t>read S1-MOB-360.gas_emissions_unit; require 'metric_tonne'; copy to S1-OUT-020.emissions_unit; no conversion</t>
  </si>
  <si>
    <t>S1-OUT-MAP-034</t>
  </si>
  <si>
    <t>S1-OUT-MAP-035</t>
  </si>
  <si>
    <t>read S1-MOB-370.gas_emissions_unit; require 'metric_tonne'; copy to S1-OUT-020.emissions_unit; no conversion</t>
  </si>
  <si>
    <t>S1-OUT-MAP-036</t>
  </si>
  <si>
    <t>S1-OUT-MAP-037</t>
  </si>
  <si>
    <t>total_emissions_gas</t>
  </si>
  <si>
    <t>S1-FUG-510.inventory_id</t>
  </si>
  <si>
    <t>S1-FUG-510.facility_id</t>
  </si>
  <si>
    <t>S1-FUG-510.reporting_period_ref</t>
  </si>
  <si>
    <t>S1-FUG-510.equipment_group_id</t>
  </si>
  <si>
    <t>S1-FUG-460.calculation_record_id</t>
  </si>
  <si>
    <t>S1-FUG-010.gas_type</t>
  </si>
  <si>
    <t>read S1-FUG-040.gas_emissions_unit; require 'metric_tonne'; copy to S1-OUT-020.emissions_unit; no conversion</t>
  </si>
  <si>
    <t>Refrigeration/AC screening gas comes from the co-grain S1-FUG-010 activity row.</t>
  </si>
  <si>
    <t>S1-OUT-MAP-038</t>
  </si>
  <si>
    <t>emissions_gas</t>
  </si>
  <si>
    <t>S1-FUG-050.gas_type</t>
  </si>
  <si>
    <t>read S1-FUG-070.gas_emissions_unit; require 'metric_tonne'; copy to S1-OUT-020.emissions_unit; no conversion</t>
  </si>
  <si>
    <t>Fire-suppression screening gas comes from the co-grain S1-FUG-050 activity row.</t>
  </si>
  <si>
    <t>S1-OUT-MAP-039</t>
  </si>
  <si>
    <t>S1-FUG-420.inventory_id</t>
  </si>
  <si>
    <t>S1-FUG-420.facility_id</t>
  </si>
  <si>
    <t>S1-FUG-420.reporting_period_ref</t>
  </si>
  <si>
    <t>S1-FUG-420.transaction_id</t>
  </si>
  <si>
    <t>S1-FUG-080.gas_type</t>
  </si>
  <si>
    <t>read S1-FUG-230.gas_emissions_unit; require 'metric_tonne'; copy to S1-OUT-020.emissions_unit; no conversion</t>
  </si>
  <si>
    <t>Purchased-gas identity comes from the linked S1-FUG-080 purchase activity row.</t>
  </si>
  <si>
    <t>S1-OUT-MAP-040</t>
  </si>
  <si>
    <t>S1-FUG-520.inventory_id</t>
  </si>
  <si>
    <t>S1-FUG-520.facility_id</t>
  </si>
  <si>
    <t>S1-FUG-520.reporting_period_ref</t>
  </si>
  <si>
    <t>S1-FUG-520.system_id</t>
  </si>
  <si>
    <t>S1-FUG-240.gas_type</t>
  </si>
  <si>
    <t>read S1-FUG-260.gas_emissions_unit; require 'metric_tonne'; copy to S1-OUT-020.emissions_unit; no conversion</t>
  </si>
  <si>
    <t>Material-balance gas is declared at the co-grain S1-FUG-240 system-period activity row.</t>
  </si>
  <si>
    <t>S1-OUT-MAP-041</t>
  </si>
  <si>
    <t>S1-FUG-290.gas_type</t>
  </si>
  <si>
    <t>read S1-FUG-310.gas_emissions_unit; require 'metric_tonne'; copy to S1-OUT-020.emissions_unit; no conversion</t>
  </si>
  <si>
    <t>Simplified material-balance gas is declared at the co-grain S1-FUG-290 system-period activity row.</t>
  </si>
  <si>
    <t>S1-OUT-MAP-042</t>
  </si>
  <si>
    <t>read S1-STC-490.gas_emissions_unit; require 'metric_tonne'; copy to S1-OUT-020.emissions_unit; no conversion</t>
  </si>
  <si>
    <t>CEMS supplies CO2 through S1-STC-060; this mapping supplies the required fuel-factor CH4/N2O side path.</t>
  </si>
  <si>
    <t>S1-OUT-MAP-043</t>
  </si>
  <si>
    <t>S1-OUT-MAP-044</t>
  </si>
  <si>
    <t>read S1-STC-370.gas_emissions_unit; require 'metric_tonne'; copy to S1-OUT-020.emissions_unit; no conversion</t>
  </si>
  <si>
    <t>Complex waste-gas CH4/N2O mapping; source_id is the waste-gas-stream identifier.</t>
  </si>
  <si>
    <t>S1-OUT-MAP-045</t>
  </si>
  <si>
    <t>Invariant_ID</t>
  </si>
  <si>
    <t>Applies_To</t>
  </si>
  <si>
    <t>Grain_Key</t>
  </si>
  <si>
    <t>Rule_Expression</t>
  </si>
  <si>
    <t>Severity</t>
  </si>
  <si>
    <t>Failure_Class</t>
  </si>
  <si>
    <t>Rationale</t>
  </si>
  <si>
    <t>S1-CEMS-INV-001</t>
  </si>
  <si>
    <t>S1-STC-060; S1-STC-490; 5_Output_Mapping</t>
  </si>
  <si>
    <t>equipment_id × reporting_period_ref</t>
  </si>
  <si>
    <t>IF selected_calculation_method = 'cems' THEN exactly one CO2 mapping from S1-STC-060 AND exactly one CH4 mapping and one N2O mapping from S1-STC-490</t>
  </si>
  <si>
    <t>Error</t>
  </si>
  <si>
    <t>cems_gas_coverage_failure</t>
  </si>
  <si>
    <t>CEMS CO2 alone is not a complete Scope 1 gas result; CH4 and N2O remain fuel-factor calculations.</t>
  </si>
  <si>
    <t>S1-CEMS-INV-002</t>
  </si>
  <si>
    <t>S1-STC-480; S1-STC-490</t>
  </si>
  <si>
    <t>IF selected_calculation_method = 'cems' THEN selected_cems_nonco2_method IN ('fuel_based_hhv','fuel_based_default') AND exactly one value is selected</t>
  </si>
  <si>
    <t>cems_nonco2_method_missing</t>
  </si>
  <si>
    <t>CEMS supplies CO2 only; CH4/N2O must use exactly one supported fuel-factor family.</t>
  </si>
  <si>
    <t>S1-CEMS-INV-003</t>
  </si>
  <si>
    <t>S1-STC-400; S1-STC-470; S1-STC-050</t>
  </si>
  <si>
    <t>measurement_record_id</t>
  </si>
  <si>
    <t>Each CEMS measurement record resolves to exactly one monitor_id, equipment_id, source_document_id, inventory_id, and reporting_period_ref</t>
  </si>
  <si>
    <t>cems_measurement_join_failure</t>
  </si>
  <si>
    <t>CEMS values cannot be recomputed or sampled if the interval record is not joinable to its monitor and source.</t>
  </si>
  <si>
    <t>S1-FUG-INV-001</t>
  </si>
  <si>
    <t>S1-FUG-480; S1-FUG-010 to S1-FUG-070; 5_Output_Mapping</t>
  </si>
  <si>
    <t>equipment_group_id × reporting_period_ref</t>
  </si>
  <si>
    <t>IF selected_calculation_method = 'screening' THEN selected_screening_source_type IN ('refrigeration_ac','fire_suppression') AND exactly one branch is selected</t>
  </si>
  <si>
    <t>screening_branch_ambiguity</t>
  </si>
  <si>
    <t>The refrigeration and fire-suppression screening formulas must never fire for the same equipment group.</t>
  </si>
  <si>
    <t>S1-MOB-INV-001</t>
  </si>
  <si>
    <t>S1-MOB-400; S1-MOB-460; mobile method conditions; 5_Output_Mapping</t>
  </si>
  <si>
    <t>vehicle_or_equipment_id × reporting_period_ref</t>
  </si>
  <si>
    <t>COUNT(selected_co2_calculation_method) = 1 AND COUNT(selected_nonco2_calculation_method) = 1; selected_co2_calculation_method IN ('fuel_based_hhv','fuel_based_default','fuel_based_carbon_content'); on_road =&gt; distance_based_onroad; non_road =&gt; fuel_based_nonroad</t>
  </si>
  <si>
    <t>mobile_dual_method_failure</t>
  </si>
  <si>
    <t>A mobile source requires a CO2 method and a simultaneous CH4/N2O method; one generic selector cannot represent both.</t>
  </si>
  <si>
    <t>S1-MTH-INV-001</t>
  </si>
  <si>
    <t>S1-STC-480; S1-FUG-480; S1-FUG-490; S1-FUG-500</t>
  </si>
  <si>
    <t>applicable stationary or fugitive source key × reporting_period_ref</t>
  </si>
  <si>
    <t>For each selector instance, COUNT(non-null selected_calculation_method) = 1</t>
  </si>
  <si>
    <t>method_selection_ambiguity</t>
  </si>
  <si>
    <t>Stationary and fugitive conditions require exactly one primary method at their applicable source-period grain.</t>
  </si>
  <si>
    <t>S1-OUT-INV-001</t>
  </si>
  <si>
    <t>5_Output_Mapping → S1-OUT-020</t>
  </si>
  <si>
    <t>source_id × reporting_period_ref × gas × biogenic_flag</t>
  </si>
  <si>
    <t>COUNT(active mappings whose Method_Condition evaluates TRUE) = 1</t>
  </si>
  <si>
    <t>double_count_or_unmapped_output</t>
  </si>
  <si>
    <t>The key includes biogenic_flag because a blended source legitimately produces separate fossil-CO2 and biogenic-CO2 records with gas = CO2. Excluding the flag would incorrectly reject that valid split.</t>
  </si>
  <si>
    <t>S1-OUT-INV-002</t>
  </si>
  <si>
    <t>source_id × reporting_period_ref</t>
  </si>
  <si>
    <t>SET(normalized gas records) = EXPECTED_GAS_SET(selected_calculation_method, selected_carbon_content_route, selected_co2_calculation_method, selected_nonco2_calculation_method, selected_screening_source_type, source_block)</t>
  </si>
  <si>
    <t>gas_completeness_failure</t>
  </si>
  <si>
    <t>Prevents silent omissions when no mapping fires for a gas required by the selected method.</t>
  </si>
  <si>
    <t>S1-OUT-INV-003</t>
  </si>
  <si>
    <t>5_Output_Mapping.Inventory_ID_From; Facility_ID_From; Reporting_Period_Ref_From; Source_ID_From; Source_Block_Value; S1-OUT-010</t>
  </si>
  <si>
    <t>Every Active mapping has valid inventory, facility, reporting-period, source, and source-block references; their resolved values equal the corresponding S1-OUT-010 fields</t>
  </si>
  <si>
    <t>unresolvable_source_key</t>
  </si>
  <si>
    <t>Every normalized gas record must resolve to one auditable source key, including complex waste-gas streams.</t>
  </si>
  <si>
    <t>S1-OUT-INV-004</t>
  </si>
  <si>
    <t>S1-OUT-020; 5_Output_Mapping</t>
  </si>
  <si>
    <t>output_record_id</t>
  </si>
  <si>
    <t>source_output.gas_emissions_unit = 'metric_tonne' AND S1-OUT-020.emissions_unit = source_output.gas_emissions_unit</t>
  </si>
  <si>
    <t>noncanonical_output_unit</t>
  </si>
  <si>
    <t>The source unit is now explicitly declared on every computed-output row, making the no-conversion interface contract testable.</t>
  </si>
  <si>
    <t>S1-OUT-INV-005</t>
  </si>
  <si>
    <t>For every Active mapping: Inventory_ID_From, Facility_ID_From, Reporting_Period_Ref_From, Source_ID_From, Source_Block_Value, and Method_Variant_Ref_From are non-null and resolve to declared schema fields</t>
  </si>
  <si>
    <t>normalization_reference_missing</t>
  </si>
  <si>
    <t>The per-gas value mapping is incomplete unless every normalized key and method trace is explicit.</t>
  </si>
  <si>
    <t>S1-SCOPE-INV-001</t>
  </si>
  <si>
    <t>OPB-010 scope edges; all active Scope 1 source registers; 5_Output_Mapping</t>
  </si>
  <si>
    <t>source_id</t>
  </si>
  <si>
    <t>Each active source has exactly one OPB-010 scope_classification and only scope_classification = 1 may enter Scope 1 calculation or normalization</t>
  </si>
  <si>
    <t>scope_routing_failure</t>
  </si>
  <si>
    <t>Prevents cross-scope double counting and keeps the Scope column from being mistaken for the asserted classification.</t>
  </si>
  <si>
    <t>S1-STC-INV-001</t>
  </si>
  <si>
    <t>S1-STC-480; carbon-content conditions; 5_Output_Mapping</t>
  </si>
  <si>
    <t>IF selected_calculation_method = 'fuel_based_carbon_content' THEN selected_carbon_content_route IN ('standard_fuel','complex_waste_gas') AND exactly one route is selected</t>
  </si>
  <si>
    <t>carbon_content_route_ambiguity</t>
  </si>
  <si>
    <t>Prevents the standard-fuel and complex-waste-gas CO2 mappings from firing for the same source-period.</t>
  </si>
  <si>
    <t>S1-STC-INV-002</t>
  </si>
  <si>
    <t>S1-STC-480; S1-STC-270; S1-STC-350; S1-STC-370</t>
  </si>
  <si>
    <t>applicable stationary source key × reporting_period_ref</t>
  </si>
  <si>
    <t>IF selected_calculation_method = 'fuel_based_carbon_content' THEN selected_carbon_content_nonco2_method IN ('fuel_based_hhv','fuel_based_default') AND exactly one value is selected</t>
  </si>
  <si>
    <t>carbon_content_nonco2_method_missing</t>
  </si>
  <si>
    <t>The carbon-content equation produces CO2 only; CH4/N2O require one separately selected factor family.</t>
  </si>
  <si>
    <t>S1-TRACE-INV-001</t>
  </si>
  <si>
    <t>5_Output_Mapping.Method_Variant_Ref_From; S1-OUT-010.method_variant_ref</t>
  </si>
  <si>
    <t>Every active mapping has one valid Method_Variant_Ref_From reference; the resolved calculation record has the same source_id/source_grain and reporting period and carries the applicable extracted method claim(s)</t>
  </si>
  <si>
    <t>broken_method_trace</t>
  </si>
  <si>
    <t>Links each normalized gas record to the calculation record and documented method claim(s) that produced it.</t>
  </si>
  <si>
    <t>Scope 1 Schema — Comprehensive Final Evaluation</t>
  </si>
  <si>
    <t>Overall conclusion</t>
  </si>
  <si>
    <t>No major redesign is currently required. The comprehensive review corrected the remaining method-routing, source-key, unit, grain, lineage, mapping, edge, vocabulary, README, and evaluation inconsistencies found under the current approved requirements and loaded methodology sources. The workbook is implementation-ready for its covered methods. Production validation remains conditional on the bounded General-layer and deferred-method limitations.</t>
  </si>
  <si>
    <t>Evaluation by dimension</t>
  </si>
  <si>
    <t>Review results</t>
  </si>
  <si>
    <t>Dimension</t>
  </si>
  <si>
    <t>Evaluation</t>
  </si>
  <si>
    <t>Evidence</t>
  </si>
  <si>
    <t>Remaining qualification</t>
  </si>
  <si>
    <t>Check</t>
  </si>
  <si>
    <t>Reviewed result</t>
  </si>
  <si>
    <t>Expected</t>
  </si>
  <si>
    <t>Architecture</t>
  </si>
  <si>
    <t>Strong and stable</t>
  </si>
  <si>
    <t>Final grains, source keys, method claims, selectors, roles, origins, and internal lineage are coherent.</t>
  </si>
  <si>
    <t>No rebuild required.</t>
  </si>
  <si>
    <t>Schema rows</t>
  </si>
  <si>
    <t>139</t>
  </si>
  <si>
    <t>Method routing</t>
  </si>
  <si>
    <t>Strong</t>
  </si>
  <si>
    <t>Stationary CEMS/carbon-content side paths, mobile dual methods, and fugitive screening branches are explicit and mutually exclusive.</t>
  </si>
  <si>
    <t>Future methods require the same selector discipline.</t>
  </si>
  <si>
    <t>Output mappings</t>
  </si>
  <si>
    <t>45</t>
  </si>
  <si>
    <t>Output normalization</t>
  </si>
  <si>
    <t>All source gas outputs map to one S1-OUT interface with every key, gas, unit, route, and method reference declared.</t>
  </si>
  <si>
    <t>Mixed-origin complex waste gas remains manual.</t>
  </si>
  <si>
    <t>Cross-layer edges</t>
  </si>
  <si>
    <t>78</t>
  </si>
  <si>
    <t>Traceability</t>
  </si>
  <si>
    <t>Measurement records, calculation records, source identifiers, periods, method claims, and output mappings are joinable.</t>
  </si>
  <si>
    <t>MTH activation waits on a General key.</t>
  </si>
  <si>
    <t>Interface invariants</t>
  </si>
  <si>
    <t>15</t>
  </si>
  <si>
    <t>Cross-layer integration</t>
  </si>
  <si>
    <t>Structurally ready</t>
  </si>
  <si>
    <t>Edges cover shared keys, scope, GWP, BIO, period allocation, methodology sources, and facility roll-up.</t>
  </si>
  <si>
    <t>Production validation waits on General P0 items.</t>
  </si>
  <si>
    <t>Normative rows missing citation</t>
  </si>
  <si>
    <t>0</t>
  </si>
  <si>
    <t>Method coverage</t>
  </si>
  <si>
    <t>Intentionally partial</t>
  </si>
  <si>
    <t>Core stationary, mobile, and common fugitive methods are modeled without inventing unsupported calculations.</t>
  </si>
  <si>
    <t>PRC, SF6 electrical, methane leaks, and mixed-origin waste gas remain deferred/manual.</t>
  </si>
  <si>
    <t>Evidence-derived rows with citation</t>
  </si>
  <si>
    <t>Duplicate Field_ID</t>
  </si>
  <si>
    <t>Concise limitations</t>
  </si>
  <si>
    <t>Dangling internal lineage</t>
  </si>
  <si>
    <t>Impact</t>
  </si>
  <si>
    <t>Owner / next step</t>
  </si>
  <si>
    <t>Undeclared Condition variables</t>
  </si>
  <si>
    <t>General must add a stable MTH-020 key, formalize PER-020 usage_based, align the gas universe including NF3, load the approved GWP dataset, and assign a formal GEN version.</t>
  </si>
  <si>
    <t>Blocks full automated cross-layer validation, not the Scope 1 schema structure.</t>
  </si>
  <si>
    <t>General / integration owner</t>
  </si>
  <si>
    <t>Invalid mapping/edge references</t>
  </si>
  <si>
    <t>P1 methodology coverage</t>
  </si>
  <si>
    <t>No approved modules yet for sector-specific process emissions, full SF6 electrical-equipment accounting, methane equipment leaks, or mixed-origin complex waste gas.</t>
  </si>
  <si>
    <t>Evidence can be captured, but automated emissions conclusions remain unavailable.</t>
  </si>
  <si>
    <t>Methodology owner</t>
  </si>
  <si>
    <t>Pending General edges</t>
  </si>
  <si>
    <t>5</t>
  </si>
  <si>
    <t>Purchased industrial-gas, allocation, identifier, and gas-density evidence still lack approved canonical vocabulary treatment.</t>
  </si>
  <si>
    <t>Affects classification/routing consistency, not core calculation logic.</t>
  </si>
  <si>
    <t>Vocabulary owner</t>
  </si>
  <si>
    <t>Open or deferred flags</t>
  </si>
  <si>
    <t>9</t>
  </si>
  <si>
    <t>P2 three-file merge</t>
  </si>
  <si>
    <t>Scope 2 has not yet migrated to the same final edge, shared-key, mobile-method, and normalized-output contract.</t>
  </si>
  <si>
    <t>Prevents a clean physical union of General + Scope 1 + Scope 2.</t>
  </si>
  <si>
    <t>Scope 2 owner</t>
  </si>
  <si>
    <t>Interpretation of readiness</t>
  </si>
  <si>
    <t>Level</t>
  </si>
  <si>
    <t>Conclusion</t>
  </si>
  <si>
    <t>Scope 1 design</t>
  </si>
  <si>
    <t>Ready</t>
  </si>
  <si>
    <t>No major redesign is required under the current contract.</t>
  </si>
  <si>
    <t>Engineering implementation</t>
  </si>
  <si>
    <t>Ready for covered methods</t>
  </si>
  <si>
    <t>Build against the current schema, mappings, edges, vocabularies, and invariants.</t>
  </si>
  <si>
    <t>Production validation</t>
  </si>
  <si>
    <t>Not yet ready</t>
  </si>
  <si>
    <t>Wait for the P0 General-layer dependencies.</t>
  </si>
  <si>
    <t>period_allocation_ref</t>
  </si>
  <si>
    <t>Replaces the local reporting_period_allocated_quantity computation. Scope 1 does NOT allocate — it points at GEN's PER-020, the single cutoff engine for both scopes, with period_allocation_method = usage_based. Exactly parallel to S2-CON-036. GEN returns allocated_quantity. Enabling shall: GHGP Ch.9 (reporting period).</t>
  </si>
  <si>
    <t>Scope_Applicability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</si>
</sst>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rlito"/>
    </font>
    <font>
      <b/>
      <sz val="18"/>
      <color rgb="FFFFFFFF"/>
      <name val="Carlito"/>
    </font>
    <font>
      <b/>
      <sz val="11"/>
      <color rgb="FFFFFFFF"/>
      <name val="Carlito"/>
    </font>
    <font>
      <sz val="9"/>
      <color rgb="FF243746"/>
      <name val="Carlito"/>
    </font>
    <font>
      <b/>
      <sz val="10"/>
      <color rgb="FFFFFFFF"/>
      <name val="Carlito"/>
    </font>
    <font>
      <b/>
      <sz val="9"/>
      <color rgb="FF243746"/>
      <name val="Carlito"/>
    </font>
    <font>
      <b/>
      <sz val="11"/>
      <color rgb="FF243746"/>
      <name val="Carlito"/>
    </font>
    <font>
      <sz val="10"/>
      <color rgb="FF243746"/>
      <name val="Carlito"/>
    </font>
    <font>
      <b/>
      <sz val="10"/>
      <color rgb="FF243746"/>
      <name val="Carlito"/>
    </font>
    <font>
      <sz val="9"/>
      <name val="宋体"/>
      <family val="3"/>
      <charset val="134"/>
    </font>
  </fonts>
  <fills count="10">
    <fill>
      <patternFill patternType="none"/>
    </fill>
    <fill>
      <patternFill patternType="gray125"/>
    </fill>
    <fill>
      <patternFill patternType="solid">
        <fgColor rgb="FF153A52"/>
      </patternFill>
    </fill>
    <fill>
      <patternFill patternType="solid">
        <fgColor rgb="FF153A52"/>
      </patternFill>
    </fill>
    <fill>
      <patternFill patternType="solid">
        <fgColor rgb="FF153A52"/>
      </patternFill>
    </fill>
    <fill>
      <patternFill patternType="solid">
        <fgColor rgb="FF153A52"/>
      </patternFill>
    </fill>
    <fill>
      <patternFill patternType="solid">
        <fgColor rgb="FFFFFFFF"/>
      </patternFill>
    </fill>
    <fill>
      <patternFill patternType="solid">
        <fgColor rgb="FF24647A"/>
      </patternFill>
    </fill>
    <fill>
      <patternFill patternType="solid">
        <fgColor rgb="FFE6F2E8"/>
      </patternFill>
    </fill>
    <fill>
      <patternFill patternType="solid">
        <fgColor rgb="FFF3F5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0" xfId="0" applyFont="1" applyAlignment="1">
      <alignment vertical="top" wrapText="1"/>
    </xf>
    <xf numFmtId="0" fontId="4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3" fillId="0" borderId="0" xfId="0" applyFont="1" applyAlignment="1">
      <alignment vertical="top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4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vertical="top" wrapText="1"/>
    </xf>
    <xf numFmtId="0" fontId="5" fillId="6" borderId="0" xfId="0" applyFont="1" applyFill="1" applyAlignment="1">
      <alignment horizontal="center" vertical="top" wrapText="1"/>
    </xf>
    <xf numFmtId="0" fontId="5" fillId="6" borderId="0" xfId="0" applyFont="1" applyFill="1" applyAlignment="1">
      <alignment vertical="top" wrapText="1"/>
    </xf>
    <xf numFmtId="0" fontId="3" fillId="6" borderId="0" xfId="0" applyFont="1" applyFill="1" applyAlignment="1">
      <alignment horizontal="left" vertical="top" wrapText="1"/>
    </xf>
    <xf numFmtId="0" fontId="2" fillId="7" borderId="0" xfId="0" applyFont="1" applyFill="1" applyAlignment="1">
      <alignment vertical="center" wrapText="1"/>
    </xf>
    <xf numFmtId="0" fontId="1" fillId="5" borderId="0" xfId="0" applyFont="1" applyFill="1" applyAlignment="1">
      <alignment vertical="center" wrapText="1"/>
    </xf>
    <xf numFmtId="0" fontId="6" fillId="8" borderId="0" xfId="0" applyFont="1" applyFill="1" applyAlignment="1">
      <alignment horizontal="left" vertical="center" wrapText="1"/>
    </xf>
    <xf numFmtId="0" fontId="7" fillId="9" borderId="0" xfId="0" applyFont="1" applyFill="1" applyAlignment="1">
      <alignment horizontal="left" vertical="center" wrapText="1"/>
    </xf>
    <xf numFmtId="0" fontId="8" fillId="9" borderId="0" xfId="0" applyFont="1" applyFill="1" applyAlignment="1">
      <alignment horizontal="left" vertical="center" wrapText="1"/>
    </xf>
    <xf numFmtId="0" fontId="3" fillId="6" borderId="0" xfId="0" applyFont="1" applyFill="1" applyAlignment="1">
      <alignment horizontal="left" vertical="top" wrapText="1"/>
    </xf>
    <xf numFmtId="0" fontId="3" fillId="6" borderId="0" xfId="0" applyFont="1" applyFill="1" applyAlignment="1">
      <alignment vertical="top" wrapText="1"/>
    </xf>
    <xf numFmtId="0" fontId="5" fillId="6" borderId="0" xfId="0" applyFont="1" applyFill="1" applyAlignment="1">
      <alignment vertical="top" wrapText="1"/>
    </xf>
    <xf numFmtId="0" fontId="5" fillId="6" borderId="0" xfId="0" applyFont="1" applyFill="1" applyAlignment="1">
      <alignment horizontal="center" vertical="top" wrapText="1"/>
    </xf>
    <xf numFmtId="0" fontId="1" fillId="5" borderId="0" xfId="0" applyFont="1" applyFill="1" applyAlignment="1">
      <alignment horizontal="left" vertical="center" wrapText="1"/>
    </xf>
    <xf numFmtId="0" fontId="2" fillId="7" borderId="0" xfId="0" applyFont="1" applyFill="1" applyAlignment="1">
      <alignment horizontal="left" vertical="center" wrapText="1"/>
    </xf>
    <xf numFmtId="0" fontId="2" fillId="7" borderId="0" xfId="0" applyFont="1" applyFill="1" applyAlignment="1">
      <alignment horizontal="center" vertical="center" wrapText="1"/>
    </xf>
  </cellXfs>
  <cellStyles count="1">
    <cellStyle name="Normal" xfId="0" builtinId="0"/>
  </cellStyles>
  <dxfs count="49">
    <dxf>
      <font>
        <b/>
      </font>
      <fill>
        <patternFill>
          <bgColor rgb="FFF9DEDE"/>
        </patternFill>
      </fill>
    </dxf>
    <dxf>
      <font>
        <b/>
      </font>
      <fill>
        <patternFill>
          <bgColor rgb="FFFFF2C9"/>
        </patternFill>
      </fill>
    </dxf>
    <dxf>
      <font>
        <b/>
      </font>
      <fill>
        <patternFill>
          <bgColor rgb="FFFFF2C9"/>
        </patternFill>
      </fill>
    </dxf>
    <dxf>
      <font>
        <b/>
      </font>
      <fill>
        <patternFill>
          <bgColor rgb="FFFFF2C9"/>
        </patternFill>
      </fill>
    </dxf>
    <dxf>
      <font>
        <b/>
      </font>
      <fill>
        <patternFill>
          <bgColor rgb="FFEEE7F4"/>
        </patternFill>
      </fill>
    </dxf>
    <dxf>
      <font>
        <b/>
      </font>
      <fill>
        <patternFill>
          <bgColor rgb="FFFFF2C9"/>
        </patternFill>
      </fill>
    </dxf>
    <dxf>
      <font>
        <b/>
      </font>
      <fill>
        <patternFill>
          <bgColor rgb="FFE6F2E8"/>
        </patternFill>
      </fill>
    </dxf>
    <dxf>
      <font>
        <b/>
        <color rgb="FF2F6B4F"/>
      </font>
      <fill>
        <patternFill>
          <bgColor rgb="FFE6F2E8"/>
        </patternFill>
      </fill>
    </dxf>
    <dxf>
      <font>
        <b/>
        <color rgb="FF654776"/>
      </font>
      <fill>
        <patternFill>
          <bgColor rgb="FFEEE7F4"/>
        </patternFill>
      </fill>
    </dxf>
    <dxf>
      <font>
        <b/>
        <color rgb="FF9A581A"/>
      </font>
      <fill>
        <patternFill>
          <bgColor rgb="FFFFF2C9"/>
        </patternFill>
      </fill>
    </dxf>
    <dxf>
      <font>
        <b/>
      </font>
      <fill>
        <patternFill>
          <bgColor rgb="FFFFF2C9"/>
        </patternFill>
      </fill>
    </dxf>
    <dxf>
      <font>
        <b/>
      </font>
      <fill>
        <patternFill>
          <bgColor rgb="FFE6F2E8"/>
        </patternFill>
      </fill>
    </dxf>
    <dxf>
      <font>
        <b/>
      </font>
      <fill>
        <patternFill>
          <bgColor rgb="FFFFF2C9"/>
        </patternFill>
      </fill>
    </dxf>
    <dxf>
      <font>
        <b/>
      </font>
      <fill>
        <patternFill>
          <bgColor rgb="FFE6F2E8"/>
        </patternFill>
      </fill>
    </dxf>
    <dxf>
      <font>
        <b/>
      </font>
      <fill>
        <patternFill>
          <bgColor rgb="FFFFF2C9"/>
        </patternFill>
      </fill>
    </dxf>
    <dxf>
      <font>
        <b/>
      </font>
      <fill>
        <patternFill>
          <bgColor rgb="FFE6F2E8"/>
        </patternFill>
      </fill>
    </dxf>
    <dxf>
      <font>
        <b/>
        <color rgb="FFA12B2B"/>
      </font>
      <fill>
        <patternFill>
          <bgColor rgb="FFF9DEDE"/>
        </patternFill>
      </fill>
    </dxf>
    <dxf>
      <fill>
        <patternFill>
          <bgColor rgb="FFFFF2C9"/>
        </patternFill>
      </fill>
    </dxf>
    <dxf>
      <fill>
        <patternFill>
          <bgColor rgb="FFE6F2E8"/>
        </patternFill>
      </fill>
    </dxf>
    <dxf>
      <fill>
        <patternFill>
          <bgColor rgb="FFFFF2C9"/>
        </patternFill>
      </fill>
    </dxf>
    <dxf>
      <fill>
        <patternFill>
          <bgColor rgb="FFFFF2C9"/>
        </patternFill>
      </fill>
    </dxf>
    <dxf>
      <fill>
        <patternFill>
          <bgColor rgb="FFEEE7F4"/>
        </patternFill>
      </fill>
    </dxf>
    <dxf>
      <fill>
        <patternFill>
          <bgColor rgb="FFFBE8D7"/>
        </patternFill>
      </fill>
    </dxf>
    <dxf>
      <fill>
        <patternFill>
          <bgColor rgb="FFE6F2E8"/>
        </patternFill>
      </fill>
    </dxf>
    <dxf>
      <fill>
        <patternFill>
          <bgColor rgb="FFDCEBF2"/>
        </patternFill>
      </fill>
    </dxf>
    <dxf>
      <fill>
        <patternFill>
          <bgColor rgb="FFFFF2C9"/>
        </patternFill>
      </fill>
    </dxf>
    <dxf>
      <fill>
        <patternFill>
          <bgColor rgb="FFEEE7F4"/>
        </patternFill>
      </fill>
    </dxf>
    <dxf>
      <fill>
        <patternFill>
          <bgColor rgb="FFFBE8D7"/>
        </patternFill>
      </fill>
    </dxf>
    <dxf>
      <fill>
        <patternFill>
          <bgColor rgb="FFE6F2E8"/>
        </patternFill>
      </fill>
    </dxf>
    <dxf>
      <fill>
        <patternFill>
          <bgColor rgb="FFDCEBF2"/>
        </patternFill>
      </fill>
    </dxf>
    <dxf>
      <fill>
        <patternFill>
          <bgColor rgb="FFFFF2C9"/>
        </patternFill>
      </fill>
    </dxf>
    <dxf>
      <fill>
        <patternFill>
          <bgColor rgb="FFEEE7F4"/>
        </patternFill>
      </fill>
    </dxf>
    <dxf>
      <fill>
        <patternFill>
          <bgColor rgb="FFFBE8D7"/>
        </patternFill>
      </fill>
    </dxf>
    <dxf>
      <fill>
        <patternFill>
          <bgColor rgb="FFE6F2E8"/>
        </patternFill>
      </fill>
    </dxf>
    <dxf>
      <fill>
        <patternFill>
          <bgColor rgb="FFDCEBF2"/>
        </patternFill>
      </fill>
    </dxf>
    <dxf>
      <fill>
        <patternFill>
          <bgColor rgb="FFFFF2C9"/>
        </patternFill>
      </fill>
    </dxf>
    <dxf>
      <fill>
        <patternFill>
          <bgColor rgb="FFFBE8D7"/>
        </patternFill>
      </fill>
    </dxf>
    <dxf>
      <fill>
        <patternFill>
          <bgColor rgb="FFE6F2E8"/>
        </patternFill>
      </fill>
    </dxf>
    <dxf>
      <fill>
        <patternFill>
          <bgColor rgb="FFDCEBF2"/>
        </patternFill>
      </fill>
    </dxf>
    <dxf>
      <fill>
        <patternFill>
          <bgColor rgb="FFEEE7F4"/>
        </patternFill>
      </fill>
    </dxf>
    <dxf>
      <fill>
        <patternFill>
          <bgColor rgb="FFDCEBF2"/>
        </patternFill>
      </fill>
    </dxf>
    <dxf>
      <fill>
        <patternFill>
          <bgColor rgb="FFFBE8D7"/>
        </patternFill>
      </fill>
    </dxf>
    <dxf>
      <fill>
        <patternFill>
          <bgColor rgb="FFEEE7F4"/>
        </patternFill>
      </fill>
    </dxf>
    <dxf>
      <fill>
        <patternFill>
          <bgColor rgb="FFFFF2C9"/>
        </patternFill>
      </fill>
    </dxf>
    <dxf>
      <fill>
        <patternFill>
          <bgColor rgb="FFE6F2E8"/>
        </patternFill>
      </fill>
    </dxf>
    <dxf>
      <fill>
        <patternFill>
          <bgColor rgb="FFDCEBF2"/>
        </patternFill>
      </fill>
    </dxf>
    <dxf>
      <fill>
        <patternFill>
          <bgColor rgb="FFEEE7F4"/>
        </patternFill>
      </fill>
    </dxf>
    <dxf>
      <fill>
        <patternFill>
          <bgColor rgb="FFFBE8D7"/>
        </patternFill>
      </fill>
    </dxf>
    <dxf>
      <fill>
        <patternFill>
          <bgColor rgb="FFE6F2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00000000}" name="Scope1ComprehensiveSchemaTable" displayName="Scope1ComprehensiveSchemaTable" ref="A1:T140">
  <tableColumns count="20">
    <tableColumn id="1" xr3:uid="{00000000-0010-0000-0000-000001000000}" name="Field_ID"/>
    <tableColumn id="2" xr3:uid="{00000000-0010-0000-0000-000002000000}" name="Scope_Applicability"/>
    <tableColumn id="3" xr3:uid="{00000000-0010-0000-0000-000003000000}" name="Block"/>
    <tableColumn id="4" xr3:uid="{00000000-0010-0000-0000-000004000000}" name="Grain"/>
    <tableColumn id="5" xr3:uid="{00000000-0010-0000-0000-000005000000}" name="Source_Category"/>
    <tableColumn id="6" xr3:uid="{00000000-0010-0000-0000-000006000000}" name="Calculation_Method"/>
    <tableColumn id="7" xr3:uid="{00000000-0010-0000-0000-000007000000}" name="Emission_Source"/>
    <tableColumn id="8" xr3:uid="{00000000-0010-0000-0000-000008000000}" name="Gas_Applicability"/>
    <tableColumn id="9" xr3:uid="{00000000-0010-0000-0000-000009000000}" name="Data_Schema_Field(s)"/>
    <tableColumn id="10" xr3:uid="{00000000-0010-0000-0000-00000A000000}" name="Calculation_Role"/>
    <tableColumn id="11" xr3:uid="{00000000-0010-0000-0000-00000B000000}" name="Value_Origin"/>
    <tableColumn id="12" xr3:uid="{00000000-0010-0000-0000-00000C000000}" name="Requirement_Level"/>
    <tableColumn id="13" xr3:uid="{00000000-0010-0000-0000-00000D000000}" name="Condition"/>
    <tableColumn id="14" xr3:uid="{00000000-0010-0000-0000-00000E000000}" name="Anchor_Type"/>
    <tableColumn id="15" xr3:uid="{00000000-0010-0000-0000-00000F000000}" name="Definition_Purpose"/>
    <tableColumn id="16" xr3:uid="{00000000-0010-0000-0000-000010000000}" name="Vocabulary_Reference"/>
    <tableColumn id="17" xr3:uid="{00000000-0010-0000-0000-000011000000}" name="Source_Citation"/>
    <tableColumn id="18" xr3:uid="{00000000-0010-0000-0000-000012000000}" name="Derived_From"/>
    <tableColumn id="19" xr3:uid="{00000000-0010-0000-0000-000013000000}" name="Node_ID"/>
    <tableColumn id="20" xr3:uid="{00000000-0010-0000-0000-000014000000}" name="Notes_Flag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01000000}" name="Scope1ComprehensiveEdgesTable" displayName="Scope1ComprehensiveEdgesTable" ref="A1:M79">
  <tableColumns count="13">
    <tableColumn id="1" xr3:uid="{00000000-0010-0000-0100-000001000000}" name="Edge_ID"/>
    <tableColumn id="2" xr3:uid="{00000000-0010-0000-0100-000002000000}" name="S1_Field_ID"/>
    <tableColumn id="3" xr3:uid="{00000000-0010-0000-0100-000003000000}" name="S1_Field(s)"/>
    <tableColumn id="4" xr3:uid="{00000000-0010-0000-0100-000004000000}" name="Direction"/>
    <tableColumn id="5" xr3:uid="{00000000-0010-0000-0100-000005000000}" name="Reference_Type"/>
    <tableColumn id="6" xr3:uid="{00000000-0010-0000-0100-000006000000}" name="Condition"/>
    <tableColumn id="7" xr3:uid="{00000000-0010-0000-0100-000007000000}" name="Transformation"/>
    <tableColumn id="8" xr3:uid="{00000000-0010-0000-0100-000008000000}" name="GEN_Field_ID"/>
    <tableColumn id="9" xr3:uid="{00000000-0010-0000-0100-000009000000}" name="GEN_Field(s)"/>
    <tableColumn id="10" xr3:uid="{00000000-0010-0000-0100-00000A000000}" name="Cardinality"/>
    <tableColumn id="11" xr3:uid="{00000000-0010-0000-0100-00000B000000}" name="GEN_Version"/>
    <tableColumn id="12" xr3:uid="{00000000-0010-0000-0100-00000C000000}" name="Status"/>
    <tableColumn id="13" xr3:uid="{00000000-0010-0000-0100-00000D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02000000}" name="Scope1ComprehensiveFlagsTable" displayName="Scope1ComprehensiveFlagsTable" ref="A1:I50">
  <tableColumns count="9">
    <tableColumn id="1" xr3:uid="{00000000-0010-0000-0200-000001000000}" name="Flag_ID"/>
    <tableColumn id="2" xr3:uid="{00000000-0010-0000-0200-000002000000}" name="Source_Category"/>
    <tableColumn id="3" xr3:uid="{00000000-0010-0000-0200-000003000000}" name="Calculation_Method"/>
    <tableColumn id="4" xr3:uid="{00000000-0010-0000-0200-000004000000}" name="Related_Field_Group"/>
    <tableColumn id="5" xr3:uid="{00000000-0010-0000-0200-000005000000}" name="Flag_Type"/>
    <tableColumn id="6" xr3:uid="{00000000-0010-0000-0200-000006000000}" name="Issue"/>
    <tableColumn id="7" xr3:uid="{00000000-0010-0000-0200-000007000000}" name="Required_Action"/>
    <tableColumn id="8" xr3:uid="{00000000-0010-0000-0200-000008000000}" name="Source_Citation"/>
    <tableColumn id="9" xr3:uid="{00000000-0010-0000-0200-000009000000}" name="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03000000}" name="Scope1ComprehensiveOutputMappingTable" displayName="Scope1ComprehensiveOutputMappingTable" ref="A1:T46">
  <tableColumns count="20">
    <tableColumn id="1" xr3:uid="{00000000-0010-0000-0300-000001000000}" name="Mapping_ID"/>
    <tableColumn id="2" xr3:uid="{00000000-0010-0000-0300-000002000000}" name="Source_Output_Field_ID"/>
    <tableColumn id="3" xr3:uid="{00000000-0010-0000-0300-000003000000}" name="Source_Field"/>
    <tableColumn id="4" xr3:uid="{00000000-0010-0000-0300-000004000000}" name="Source_Grain"/>
    <tableColumn id="5" xr3:uid="{00000000-0010-0000-0300-000005000000}" name="Inventory_ID_From"/>
    <tableColumn id="6" xr3:uid="{00000000-0010-0000-0300-000006000000}" name="Facility_ID_From"/>
    <tableColumn id="7" xr3:uid="{00000000-0010-0000-0300-000007000000}" name="Reporting_Period_Ref_From"/>
    <tableColumn id="8" xr3:uid="{00000000-0010-0000-0300-000008000000}" name="Source_ID_From"/>
    <tableColumn id="9" xr3:uid="{00000000-0010-0000-0300-000009000000}" name="Source_Block_Value"/>
    <tableColumn id="10" xr3:uid="{00000000-0010-0000-0300-00000A000000}" name="Method_Variant_Ref_From"/>
    <tableColumn id="11" xr3:uid="{00000000-0010-0000-0300-00000B000000}" name="Method_Condition"/>
    <tableColumn id="12" xr3:uid="{00000000-0010-0000-0300-00000C000000}" name="Gas_Assignment"/>
    <tableColumn id="13" xr3:uid="{00000000-0010-0000-0300-00000D000000}" name="Biogenic_Flag"/>
    <tableColumn id="14" xr3:uid="{00000000-0010-0000-0300-00000E000000}" name="Target_S1_OUT_Field_ID"/>
    <tableColumn id="15" xr3:uid="{00000000-0010-0000-0300-00000F000000}" name="Target_Field"/>
    <tableColumn id="16" xr3:uid="{00000000-0010-0000-0300-000010000000}" name="Transformation"/>
    <tableColumn id="17" xr3:uid="{00000000-0010-0000-0300-000011000000}" name="Unit_Handling"/>
    <tableColumn id="18" xr3:uid="{00000000-0010-0000-0300-000012000000}" name="Scope1_CO2e_Treatment"/>
    <tableColumn id="19" xr3:uid="{00000000-0010-0000-0300-000013000000}" name="Status"/>
    <tableColumn id="20" xr3:uid="{00000000-0010-0000-0300-000014000000}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4000000}" name="Scope1ComprehensiveInvariantsTable" displayName="Scope1ComprehensiveInvariantsTable" ref="A1:H16">
  <tableColumns count="8">
    <tableColumn id="1" xr3:uid="{00000000-0010-0000-0400-000001000000}" name="Invariant_ID"/>
    <tableColumn id="2" xr3:uid="{00000000-0010-0000-0400-000002000000}" name="Applies_To"/>
    <tableColumn id="3" xr3:uid="{00000000-0010-0000-0400-000003000000}" name="Grain_Key"/>
    <tableColumn id="4" xr3:uid="{00000000-0010-0000-0400-000004000000}" name="Rule_Expression"/>
    <tableColumn id="5" xr3:uid="{00000000-0010-0000-0400-000005000000}" name="Severity"/>
    <tableColumn id="6" xr3:uid="{00000000-0010-0000-0400-000006000000}" name="Failure_Class"/>
    <tableColumn id="7" xr3:uid="{00000000-0010-0000-0400-000007000000}" name="Rationale"/>
    <tableColumn id="8" xr3:uid="{00000000-0010-0000-0400-000008000000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0"/>
  <sheetViews>
    <sheetView topLeftCell="A34" workbookViewId="0">
      <selection activeCell="D10" sqref="D10"/>
    </sheetView>
  </sheetViews>
  <sheetFormatPr baseColWidth="10" defaultColWidth="8.83203125" defaultRowHeight="14"/>
  <cols>
    <col min="1" max="1" width="30" customWidth="1"/>
    <col min="2" max="2" width="52" customWidth="1"/>
    <col min="3" max="3" width="28" customWidth="1"/>
    <col min="4" max="4" width="24" customWidth="1"/>
    <col min="5" max="5" width="29" customWidth="1"/>
    <col min="6" max="6" width="31" customWidth="1"/>
    <col min="7" max="7" width="45" customWidth="1"/>
    <col min="8" max="8" width="24" customWidth="1"/>
  </cols>
  <sheetData>
    <row r="1" spans="1:8" ht="18.75" customHeight="1">
      <c r="A1" s="20" t="s">
        <v>0</v>
      </c>
      <c r="B1" s="20"/>
      <c r="C1" s="20"/>
      <c r="D1" s="20"/>
      <c r="E1" s="20"/>
      <c r="F1" s="20"/>
      <c r="G1" s="20"/>
      <c r="H1" s="20"/>
    </row>
    <row r="2" spans="1:8" ht="18.75" customHeight="1">
      <c r="A2" s="20"/>
      <c r="B2" s="20"/>
      <c r="C2" s="20"/>
      <c r="D2" s="20"/>
      <c r="E2" s="20"/>
      <c r="F2" s="20"/>
      <c r="G2" s="20"/>
      <c r="H2" s="20"/>
    </row>
    <row r="3" spans="1:8">
      <c r="A3" s="7"/>
      <c r="B3" s="7"/>
      <c r="C3" s="7"/>
      <c r="D3" s="7"/>
      <c r="E3" s="7"/>
      <c r="F3" s="7"/>
      <c r="G3" s="7"/>
      <c r="H3" s="7"/>
    </row>
    <row r="4" spans="1:8" ht="15">
      <c r="A4" s="21" t="s">
        <v>1</v>
      </c>
      <c r="B4" s="21"/>
      <c r="C4" s="21"/>
      <c r="D4" s="21"/>
      <c r="E4" s="21"/>
      <c r="F4" s="21"/>
      <c r="G4" s="21"/>
      <c r="H4" s="21"/>
    </row>
    <row r="5" spans="1:8">
      <c r="A5" s="13" t="s">
        <v>2</v>
      </c>
      <c r="B5" s="13"/>
      <c r="C5" s="13"/>
      <c r="D5" s="13"/>
      <c r="E5" s="13"/>
      <c r="F5" s="13"/>
      <c r="G5" s="13"/>
      <c r="H5" s="13"/>
    </row>
    <row r="6" spans="1:8">
      <c r="A6" s="13"/>
      <c r="B6" s="13"/>
      <c r="C6" s="13"/>
      <c r="D6" s="13"/>
      <c r="E6" s="13"/>
      <c r="F6" s="13"/>
      <c r="G6" s="13"/>
      <c r="H6" s="13"/>
    </row>
    <row r="7" spans="1:8">
      <c r="A7" s="13"/>
      <c r="B7" s="13"/>
      <c r="C7" s="13"/>
      <c r="D7" s="13"/>
      <c r="E7" s="13"/>
      <c r="F7" s="13"/>
      <c r="G7" s="13"/>
      <c r="H7" s="13"/>
    </row>
    <row r="8" spans="1:8">
      <c r="A8" s="7"/>
      <c r="B8" s="7"/>
      <c r="C8" s="7"/>
      <c r="D8" s="7"/>
      <c r="E8" s="7"/>
      <c r="F8" s="7"/>
      <c r="G8" s="7"/>
      <c r="H8" s="7"/>
    </row>
    <row r="9" spans="1:8" ht="15">
      <c r="A9" s="22" t="s">
        <v>3</v>
      </c>
      <c r="B9" s="22"/>
      <c r="C9" s="21"/>
      <c r="D9" s="21"/>
      <c r="E9" s="11" t="s">
        <v>4</v>
      </c>
      <c r="F9" s="21"/>
      <c r="G9" s="21"/>
      <c r="H9" s="21"/>
    </row>
    <row r="10" spans="1:8" ht="36" customHeight="1">
      <c r="A10" s="6" t="s">
        <v>5</v>
      </c>
      <c r="B10" s="6" t="s">
        <v>6</v>
      </c>
      <c r="C10" s="6"/>
      <c r="D10" s="8"/>
      <c r="E10" s="6" t="s">
        <v>7</v>
      </c>
      <c r="F10" s="6" t="s">
        <v>8</v>
      </c>
      <c r="G10" s="6"/>
      <c r="H10" s="6"/>
    </row>
    <row r="11" spans="1:8" ht="36" customHeight="1">
      <c r="A11" s="7" t="s">
        <v>9</v>
      </c>
      <c r="B11" s="17" t="s">
        <v>10</v>
      </c>
      <c r="C11" s="17"/>
      <c r="D11" s="7"/>
      <c r="E11" s="7" t="s">
        <v>11</v>
      </c>
      <c r="F11" s="17" t="s">
        <v>12</v>
      </c>
      <c r="G11" s="17"/>
      <c r="H11" s="17"/>
    </row>
    <row r="12" spans="1:8" ht="36" customHeight="1">
      <c r="A12" s="9" t="s">
        <v>13</v>
      </c>
      <c r="B12" s="18" t="s">
        <v>14</v>
      </c>
      <c r="C12" s="18"/>
      <c r="D12" s="9"/>
      <c r="E12" s="9" t="s">
        <v>15</v>
      </c>
      <c r="F12" s="18" t="s">
        <v>16</v>
      </c>
      <c r="G12" s="18"/>
      <c r="H12" s="18"/>
    </row>
    <row r="13" spans="1:8" ht="36" customHeight="1">
      <c r="A13" s="8" t="s">
        <v>17</v>
      </c>
      <c r="B13" s="19" t="s">
        <v>18</v>
      </c>
      <c r="C13" s="19"/>
      <c r="D13" s="8"/>
      <c r="E13" s="7" t="s">
        <v>19</v>
      </c>
      <c r="F13" s="17" t="s">
        <v>20</v>
      </c>
      <c r="G13" s="17"/>
      <c r="H13" s="17"/>
    </row>
    <row r="14" spans="1:8" ht="36" customHeight="1">
      <c r="A14" s="9" t="s">
        <v>21</v>
      </c>
      <c r="B14" s="18" t="s">
        <v>22</v>
      </c>
      <c r="C14" s="18"/>
      <c r="D14" s="9"/>
      <c r="E14" s="9" t="s">
        <v>23</v>
      </c>
      <c r="F14" s="18" t="s">
        <v>24</v>
      </c>
      <c r="G14" s="18"/>
      <c r="H14" s="18"/>
    </row>
    <row r="15" spans="1:8" ht="36" customHeight="1">
      <c r="A15" s="8" t="s">
        <v>25</v>
      </c>
      <c r="B15" s="19" t="s">
        <v>26</v>
      </c>
      <c r="C15" s="19"/>
      <c r="D15" s="8"/>
      <c r="E15" s="9" t="s">
        <v>27</v>
      </c>
      <c r="F15" s="18" t="s">
        <v>28</v>
      </c>
      <c r="G15" s="18"/>
      <c r="H15" s="18"/>
    </row>
    <row r="16" spans="1:8" ht="36" customHeight="1">
      <c r="A16" s="8" t="s">
        <v>29</v>
      </c>
      <c r="B16" s="19" t="s">
        <v>30</v>
      </c>
      <c r="C16" s="19"/>
      <c r="D16" s="7"/>
      <c r="E16" s="7"/>
      <c r="F16" s="7"/>
      <c r="G16" s="7"/>
      <c r="H16" s="7"/>
    </row>
    <row r="17" spans="1:8" ht="32" customHeight="1">
      <c r="A17" s="7"/>
      <c r="B17" s="7"/>
      <c r="C17" s="7"/>
      <c r="D17" s="7"/>
      <c r="E17" s="7"/>
      <c r="F17" s="7"/>
      <c r="G17" s="7"/>
      <c r="H17" s="7"/>
    </row>
    <row r="18" spans="1:8" ht="15">
      <c r="A18" s="11" t="s">
        <v>31</v>
      </c>
      <c r="B18" s="11"/>
      <c r="C18" s="11"/>
      <c r="D18" s="11"/>
      <c r="E18" s="11"/>
      <c r="F18" s="11"/>
      <c r="G18" s="11"/>
      <c r="H18" s="11"/>
    </row>
    <row r="19" spans="1:8" ht="33.5" customHeight="1">
      <c r="A19" s="6" t="s">
        <v>32</v>
      </c>
      <c r="B19" s="6" t="s">
        <v>33</v>
      </c>
      <c r="C19" s="6" t="s">
        <v>5</v>
      </c>
      <c r="D19" s="9"/>
      <c r="E19" s="9"/>
      <c r="F19" s="9"/>
      <c r="G19" s="9"/>
      <c r="H19" s="9"/>
    </row>
    <row r="20" spans="1:8" ht="33.5" customHeight="1">
      <c r="A20" s="8" t="s">
        <v>34</v>
      </c>
      <c r="B20" s="8" t="s">
        <v>35</v>
      </c>
      <c r="C20" s="8" t="s">
        <v>36</v>
      </c>
      <c r="D20" s="8"/>
      <c r="E20" s="8"/>
      <c r="F20" s="8"/>
      <c r="G20" s="8"/>
      <c r="H20" s="8"/>
    </row>
    <row r="21" spans="1:8" ht="33.5" customHeight="1">
      <c r="A21" s="8" t="s">
        <v>37</v>
      </c>
      <c r="B21" s="8" t="s">
        <v>38</v>
      </c>
      <c r="C21" s="8" t="s">
        <v>39</v>
      </c>
      <c r="D21" s="8"/>
      <c r="E21" s="7"/>
      <c r="F21" s="7"/>
      <c r="G21" s="7"/>
      <c r="H21" s="7"/>
    </row>
    <row r="22" spans="1:8" ht="33.5" customHeight="1">
      <c r="A22" s="9" t="s">
        <v>40</v>
      </c>
      <c r="B22" s="9" t="s">
        <v>41</v>
      </c>
      <c r="C22" s="9" t="s">
        <v>42</v>
      </c>
      <c r="D22" s="9"/>
      <c r="E22" s="9"/>
      <c r="F22" s="9"/>
      <c r="G22" s="9"/>
      <c r="H22" s="9"/>
    </row>
    <row r="23" spans="1:8" ht="33.5" customHeight="1">
      <c r="A23" s="8" t="s">
        <v>43</v>
      </c>
      <c r="B23" s="8" t="s">
        <v>44</v>
      </c>
      <c r="C23" s="8" t="s">
        <v>45</v>
      </c>
      <c r="D23" s="8"/>
      <c r="E23" s="8"/>
      <c r="F23" s="8"/>
      <c r="G23" s="8"/>
      <c r="H23" s="8"/>
    </row>
    <row r="24" spans="1:8" ht="33.5" customHeight="1">
      <c r="A24" s="9" t="s">
        <v>46</v>
      </c>
      <c r="B24" s="9" t="s">
        <v>47</v>
      </c>
      <c r="C24" s="9" t="s">
        <v>48</v>
      </c>
      <c r="D24" s="9"/>
      <c r="E24" s="9"/>
      <c r="F24" s="9"/>
      <c r="G24" s="9"/>
      <c r="H24" s="9"/>
    </row>
    <row r="25" spans="1:8" ht="33.5" customHeight="1">
      <c r="A25" s="8" t="s">
        <v>49</v>
      </c>
      <c r="B25" s="8" t="s">
        <v>50</v>
      </c>
      <c r="C25" s="8" t="s">
        <v>51</v>
      </c>
      <c r="D25" s="8"/>
      <c r="E25" s="9"/>
      <c r="F25" s="9"/>
      <c r="G25" s="9"/>
      <c r="H25" s="9"/>
    </row>
    <row r="26" spans="1:8" ht="33.5" customHeight="1">
      <c r="A26" s="8" t="s">
        <v>52</v>
      </c>
      <c r="B26" s="8" t="s">
        <v>53</v>
      </c>
      <c r="C26" s="8" t="s">
        <v>54</v>
      </c>
      <c r="D26" s="7"/>
      <c r="E26" s="7"/>
      <c r="F26" s="7"/>
      <c r="G26" s="7"/>
      <c r="H26" s="7"/>
    </row>
    <row r="27" spans="1:8">
      <c r="A27" s="7"/>
      <c r="B27" s="7"/>
      <c r="C27" s="7"/>
      <c r="D27" s="7"/>
      <c r="E27" s="7"/>
      <c r="F27" s="7"/>
      <c r="G27" s="7"/>
      <c r="H27" s="7"/>
    </row>
    <row r="28" spans="1:8" ht="15">
      <c r="A28" s="11" t="s">
        <v>55</v>
      </c>
      <c r="B28" s="11"/>
      <c r="C28" s="11"/>
      <c r="D28" s="11"/>
      <c r="E28" s="9"/>
      <c r="F28" s="11" t="s">
        <v>56</v>
      </c>
      <c r="G28" s="11"/>
      <c r="H28" s="11"/>
    </row>
    <row r="29" spans="1:8" ht="45.5" customHeight="1">
      <c r="A29" s="6" t="s">
        <v>57</v>
      </c>
      <c r="B29" s="6" t="s">
        <v>58</v>
      </c>
      <c r="C29" s="6"/>
      <c r="D29" s="6"/>
      <c r="E29" s="10"/>
      <c r="F29" s="6" t="s">
        <v>59</v>
      </c>
      <c r="G29" s="6" t="s">
        <v>60</v>
      </c>
      <c r="H29" s="6"/>
    </row>
    <row r="30" spans="1:8" ht="45.5" customHeight="1">
      <c r="A30" s="10" t="s">
        <v>61</v>
      </c>
      <c r="B30" s="16" t="s">
        <v>62</v>
      </c>
      <c r="C30" s="16"/>
      <c r="D30" s="16"/>
      <c r="E30" s="10"/>
      <c r="F30" s="10" t="s">
        <v>63</v>
      </c>
      <c r="G30" s="16" t="s">
        <v>64</v>
      </c>
      <c r="H30" s="16"/>
    </row>
    <row r="31" spans="1:8" ht="45.5" customHeight="1">
      <c r="A31" s="10" t="s">
        <v>65</v>
      </c>
      <c r="B31" s="16" t="s">
        <v>66</v>
      </c>
      <c r="C31" s="16"/>
      <c r="D31" s="16"/>
      <c r="E31" s="10"/>
      <c r="F31" s="10" t="s">
        <v>67</v>
      </c>
      <c r="G31" s="16" t="s">
        <v>68</v>
      </c>
      <c r="H31" s="16"/>
    </row>
    <row r="32" spans="1:8" ht="45.5" customHeight="1">
      <c r="A32" s="7" t="s">
        <v>69</v>
      </c>
      <c r="B32" s="17" t="s">
        <v>70</v>
      </c>
      <c r="C32" s="17"/>
      <c r="D32" s="17"/>
      <c r="E32" s="7"/>
      <c r="F32" s="7" t="s">
        <v>71</v>
      </c>
      <c r="G32" s="17" t="s">
        <v>72</v>
      </c>
      <c r="H32" s="17"/>
    </row>
    <row r="33" spans="1:8" ht="45.5" customHeight="1">
      <c r="A33" s="7" t="s">
        <v>73</v>
      </c>
      <c r="B33" s="17" t="s">
        <v>74</v>
      </c>
      <c r="C33" s="17"/>
      <c r="D33" s="17"/>
      <c r="E33" s="7"/>
      <c r="F33" s="7" t="s">
        <v>75</v>
      </c>
      <c r="G33" s="17" t="s">
        <v>76</v>
      </c>
      <c r="H33" s="17"/>
    </row>
    <row r="34" spans="1:8" ht="36" customHeight="1">
      <c r="A34" s="7" t="s">
        <v>77</v>
      </c>
      <c r="B34" s="17" t="s">
        <v>78</v>
      </c>
      <c r="C34" s="17"/>
      <c r="D34" s="17"/>
      <c r="E34" s="7"/>
      <c r="F34" s="7"/>
      <c r="G34" s="7"/>
      <c r="H34" s="7"/>
    </row>
    <row r="35" spans="1:8" ht="36" customHeight="1">
      <c r="A35" s="7" t="s">
        <v>79</v>
      </c>
      <c r="B35" s="17" t="s">
        <v>80</v>
      </c>
      <c r="C35" s="17"/>
      <c r="D35" s="17"/>
      <c r="E35" s="7"/>
      <c r="F35" s="7"/>
      <c r="G35" s="7"/>
      <c r="H35" s="7"/>
    </row>
    <row r="36" spans="1:8" ht="36" customHeight="1">
      <c r="A36" s="7" t="s">
        <v>81</v>
      </c>
      <c r="B36" s="17" t="s">
        <v>82</v>
      </c>
      <c r="C36" s="17"/>
      <c r="D36" s="17"/>
      <c r="E36" s="7"/>
      <c r="F36" s="7"/>
      <c r="G36" s="7"/>
      <c r="H36" s="7"/>
    </row>
    <row r="37" spans="1:8" ht="36" customHeight="1">
      <c r="A37" s="7" t="s">
        <v>83</v>
      </c>
      <c r="B37" s="17" t="s">
        <v>84</v>
      </c>
      <c r="C37" s="17"/>
      <c r="D37" s="17"/>
      <c r="E37" s="7"/>
      <c r="F37" s="7"/>
      <c r="G37" s="7"/>
      <c r="H37" s="7"/>
    </row>
    <row r="38" spans="1:8" ht="36" customHeight="1">
      <c r="A38" s="7" t="s">
        <v>85</v>
      </c>
      <c r="B38" s="17" t="s">
        <v>86</v>
      </c>
      <c r="C38" s="17"/>
      <c r="D38" s="17"/>
      <c r="E38" s="7"/>
      <c r="F38" s="7"/>
      <c r="G38" s="7"/>
      <c r="H38" s="7"/>
    </row>
    <row r="39" spans="1:8">
      <c r="A39" s="7"/>
      <c r="B39" s="7"/>
      <c r="C39" s="7"/>
      <c r="D39" s="7"/>
      <c r="E39" s="7"/>
      <c r="F39" s="7"/>
      <c r="G39" s="7"/>
      <c r="H39" s="7"/>
    </row>
    <row r="40" spans="1:8" ht="15">
      <c r="A40" s="11" t="s">
        <v>87</v>
      </c>
      <c r="B40" s="11"/>
      <c r="C40" s="11"/>
      <c r="D40" s="11"/>
      <c r="E40" s="11"/>
      <c r="F40" s="11"/>
      <c r="G40" s="11"/>
      <c r="H40" s="11"/>
    </row>
    <row r="41" spans="1:8">
      <c r="A41" s="14" t="s">
        <v>88</v>
      </c>
      <c r="B41" s="14"/>
      <c r="C41" s="14"/>
      <c r="D41" s="14"/>
      <c r="E41" s="14"/>
      <c r="F41" s="14"/>
      <c r="G41" s="14"/>
      <c r="H41" s="14"/>
    </row>
    <row r="42" spans="1:8">
      <c r="A42" s="14"/>
      <c r="B42" s="14"/>
      <c r="C42" s="14"/>
      <c r="D42" s="14"/>
      <c r="E42" s="14"/>
      <c r="F42" s="14"/>
      <c r="G42" s="14"/>
      <c r="H42" s="14"/>
    </row>
    <row r="43" spans="1:8">
      <c r="A43" s="15"/>
      <c r="B43" s="15"/>
      <c r="C43" s="15"/>
      <c r="D43" s="15"/>
      <c r="E43" s="15"/>
      <c r="F43" s="15"/>
      <c r="G43" s="15"/>
      <c r="H43" s="15"/>
    </row>
    <row r="44" spans="1:8">
      <c r="A44" s="8"/>
      <c r="B44" s="8"/>
      <c r="C44" s="8"/>
      <c r="D44" s="8"/>
      <c r="E44" s="8"/>
      <c r="F44" s="8"/>
      <c r="G44" s="8"/>
      <c r="H44" s="8"/>
    </row>
    <row r="45" spans="1:8">
      <c r="A45" s="7"/>
      <c r="B45" s="7"/>
      <c r="C45" s="7"/>
      <c r="D45" s="7"/>
      <c r="E45" s="7"/>
      <c r="F45" s="7"/>
      <c r="G45" s="7"/>
      <c r="H45" s="7"/>
    </row>
    <row r="46" spans="1:8">
      <c r="A46" s="7"/>
      <c r="B46" s="7"/>
      <c r="C46" s="7"/>
      <c r="D46" s="7"/>
      <c r="E46" s="7"/>
      <c r="F46" s="7"/>
      <c r="G46" s="7"/>
      <c r="H46" s="7"/>
    </row>
    <row r="47" spans="1:8">
      <c r="A47" s="7"/>
      <c r="B47" s="7"/>
      <c r="C47" s="7"/>
      <c r="D47" s="7"/>
      <c r="E47" s="7"/>
      <c r="F47" s="7"/>
      <c r="G47" s="7"/>
      <c r="H47" s="7"/>
    </row>
    <row r="48" spans="1:8">
      <c r="A48" s="7"/>
      <c r="B48" s="7"/>
      <c r="C48" s="7"/>
      <c r="D48" s="7"/>
      <c r="E48" s="7"/>
      <c r="F48" s="7"/>
      <c r="G48" s="7"/>
      <c r="H48" s="7"/>
    </row>
    <row r="49" spans="1:8">
      <c r="A49" s="7"/>
      <c r="B49" s="7"/>
      <c r="C49" s="7"/>
      <c r="D49" s="7"/>
      <c r="E49" s="7"/>
      <c r="F49" s="7"/>
      <c r="G49" s="7"/>
      <c r="H49" s="7"/>
    </row>
    <row r="50" spans="1:8">
      <c r="A50" s="7"/>
      <c r="B50" s="7"/>
      <c r="C50" s="7"/>
      <c r="D50" s="7"/>
      <c r="E50" s="7"/>
      <c r="F50" s="7"/>
      <c r="G50" s="7"/>
      <c r="H50" s="7"/>
    </row>
    <row r="51" spans="1:8">
      <c r="A51" s="7"/>
      <c r="B51" s="7"/>
      <c r="C51" s="7"/>
      <c r="D51" s="7"/>
      <c r="E51" s="7"/>
      <c r="F51" s="7"/>
      <c r="G51" s="7"/>
      <c r="H51" s="7"/>
    </row>
    <row r="52" spans="1:8">
      <c r="A52" s="7"/>
      <c r="B52" s="7"/>
      <c r="C52" s="7"/>
      <c r="D52" s="7"/>
      <c r="E52" s="7"/>
      <c r="F52" s="7"/>
      <c r="G52" s="7"/>
      <c r="H52" s="7"/>
    </row>
    <row r="53" spans="1:8">
      <c r="A53" s="7"/>
      <c r="B53" s="7"/>
      <c r="C53" s="7"/>
      <c r="D53" s="7"/>
      <c r="E53" s="7"/>
      <c r="F53" s="7"/>
      <c r="G53" s="7"/>
      <c r="H53" s="7"/>
    </row>
    <row r="54" spans="1:8">
      <c r="A54" s="7"/>
      <c r="B54" s="7"/>
      <c r="C54" s="7"/>
      <c r="D54" s="7"/>
      <c r="E54" s="7"/>
      <c r="F54" s="7"/>
      <c r="G54" s="7"/>
      <c r="H54" s="7"/>
    </row>
    <row r="55" spans="1:8">
      <c r="A55" s="7"/>
      <c r="B55" s="7"/>
      <c r="C55" s="7"/>
      <c r="D55" s="7"/>
      <c r="E55" s="7"/>
      <c r="F55" s="7"/>
      <c r="G55" s="7"/>
      <c r="H55" s="7"/>
    </row>
    <row r="56" spans="1:8">
      <c r="A56" s="7"/>
      <c r="B56" s="7"/>
      <c r="C56" s="7"/>
      <c r="D56" s="7"/>
      <c r="E56" s="7"/>
      <c r="F56" s="7"/>
      <c r="G56" s="7"/>
      <c r="H56" s="7"/>
    </row>
    <row r="57" spans="1:8">
      <c r="A57" s="7"/>
      <c r="B57" s="7"/>
      <c r="C57" s="7"/>
      <c r="D57" s="7"/>
      <c r="E57" s="7"/>
      <c r="F57" s="7"/>
      <c r="G57" s="7"/>
      <c r="H57" s="7"/>
    </row>
    <row r="58" spans="1:8">
      <c r="A58" s="7"/>
      <c r="B58" s="7"/>
      <c r="C58" s="7"/>
      <c r="D58" s="7"/>
      <c r="E58" s="7"/>
      <c r="F58" s="7"/>
      <c r="G58" s="7"/>
      <c r="H58" s="7"/>
    </row>
    <row r="59" spans="1:8">
      <c r="A59" s="7"/>
      <c r="B59" s="7"/>
      <c r="C59" s="7"/>
      <c r="D59" s="7"/>
      <c r="E59" s="7"/>
      <c r="F59" s="7"/>
      <c r="G59" s="7"/>
      <c r="H59" s="7"/>
    </row>
    <row r="60" spans="1:8">
      <c r="A60" s="7"/>
      <c r="B60" s="7"/>
      <c r="C60" s="7"/>
      <c r="D60" s="7"/>
      <c r="E60" s="7"/>
      <c r="F60" s="7"/>
      <c r="G60" s="7"/>
      <c r="H60" s="7"/>
    </row>
    <row r="61" spans="1:8">
      <c r="A61" s="7"/>
      <c r="B61" s="7"/>
      <c r="C61" s="7"/>
      <c r="D61" s="7"/>
      <c r="E61" s="7"/>
      <c r="F61" s="7"/>
      <c r="G61" s="7"/>
      <c r="H61" s="7"/>
    </row>
    <row r="62" spans="1:8">
      <c r="A62" s="7"/>
      <c r="B62" s="7"/>
      <c r="C62" s="7"/>
      <c r="D62" s="7"/>
      <c r="E62" s="7"/>
      <c r="F62" s="7"/>
      <c r="G62" s="7"/>
      <c r="H62" s="7"/>
    </row>
    <row r="63" spans="1:8">
      <c r="A63" s="7"/>
      <c r="B63" s="7"/>
      <c r="C63" s="7"/>
      <c r="D63" s="7"/>
      <c r="E63" s="7"/>
      <c r="F63" s="7"/>
      <c r="G63" s="7"/>
      <c r="H63" s="7"/>
    </row>
    <row r="64" spans="1:8">
      <c r="A64" s="7"/>
      <c r="B64" s="7"/>
      <c r="C64" s="7"/>
      <c r="D64" s="7"/>
      <c r="E64" s="7"/>
      <c r="F64" s="7"/>
      <c r="G64" s="7"/>
      <c r="H64" s="7"/>
    </row>
    <row r="65" spans="1:8">
      <c r="A65" s="7"/>
      <c r="B65" s="7"/>
      <c r="C65" s="7"/>
      <c r="D65" s="7"/>
      <c r="E65" s="7"/>
      <c r="F65" s="7"/>
      <c r="G65" s="7"/>
      <c r="H65" s="7"/>
    </row>
    <row r="66" spans="1:8">
      <c r="A66" s="7"/>
      <c r="B66" s="7"/>
      <c r="C66" s="7"/>
      <c r="D66" s="7"/>
      <c r="E66" s="7"/>
      <c r="F66" s="7"/>
      <c r="G66" s="7"/>
      <c r="H66" s="7"/>
    </row>
    <row r="67" spans="1:8">
      <c r="A67" s="7"/>
      <c r="B67" s="7"/>
      <c r="C67" s="7"/>
      <c r="D67" s="7"/>
      <c r="E67" s="7"/>
      <c r="F67" s="7"/>
      <c r="G67" s="7"/>
      <c r="H67" s="7"/>
    </row>
    <row r="68" spans="1:8">
      <c r="A68" s="7"/>
      <c r="B68" s="7"/>
      <c r="C68" s="7"/>
      <c r="D68" s="7"/>
      <c r="E68" s="7"/>
      <c r="F68" s="7"/>
      <c r="G68" s="7"/>
      <c r="H68" s="7"/>
    </row>
    <row r="69" spans="1:8">
      <c r="A69" s="7"/>
      <c r="B69" s="7"/>
      <c r="C69" s="7"/>
      <c r="D69" s="7"/>
      <c r="E69" s="7"/>
      <c r="F69" s="7"/>
      <c r="G69" s="7"/>
      <c r="H69" s="7"/>
    </row>
    <row r="70" spans="1:8">
      <c r="A70" s="7"/>
      <c r="B70" s="7"/>
      <c r="C70" s="7"/>
      <c r="D70" s="7"/>
      <c r="E70" s="7"/>
      <c r="F70" s="7"/>
      <c r="G70" s="7"/>
      <c r="H70" s="7"/>
    </row>
    <row r="71" spans="1:8">
      <c r="A71" s="7"/>
      <c r="B71" s="7"/>
      <c r="C71" s="7"/>
      <c r="D71" s="7"/>
      <c r="E71" s="7"/>
      <c r="F71" s="7"/>
      <c r="G71" s="7"/>
      <c r="H71" s="7"/>
    </row>
    <row r="72" spans="1:8">
      <c r="A72" s="7"/>
      <c r="B72" s="7"/>
      <c r="C72" s="7"/>
      <c r="D72" s="7"/>
      <c r="E72" s="7"/>
      <c r="F72" s="7"/>
      <c r="G72" s="7"/>
      <c r="H72" s="7"/>
    </row>
    <row r="73" spans="1:8">
      <c r="A73" s="7"/>
      <c r="B73" s="7"/>
      <c r="C73" s="7"/>
      <c r="D73" s="7"/>
      <c r="E73" s="7"/>
      <c r="F73" s="7"/>
      <c r="G73" s="7"/>
      <c r="H73" s="7"/>
    </row>
    <row r="74" spans="1:8">
      <c r="A74" s="7"/>
      <c r="B74" s="7"/>
      <c r="C74" s="7"/>
      <c r="D74" s="7"/>
      <c r="E74" s="7"/>
      <c r="F74" s="7"/>
      <c r="G74" s="7"/>
      <c r="H74" s="7"/>
    </row>
    <row r="75" spans="1:8">
      <c r="A75" s="7"/>
      <c r="B75" s="7"/>
      <c r="C75" s="7"/>
      <c r="D75" s="7"/>
      <c r="E75" s="7"/>
      <c r="F75" s="7"/>
      <c r="G75" s="7"/>
      <c r="H75" s="7"/>
    </row>
    <row r="76" spans="1:8">
      <c r="A76" s="7"/>
      <c r="B76" s="7"/>
      <c r="C76" s="7"/>
      <c r="D76" s="7"/>
      <c r="E76" s="7"/>
      <c r="F76" s="7"/>
      <c r="G76" s="7"/>
      <c r="H76" s="7"/>
    </row>
    <row r="77" spans="1:8">
      <c r="A77" s="7"/>
      <c r="B77" s="7"/>
      <c r="C77" s="7"/>
      <c r="D77" s="7"/>
      <c r="E77" s="7"/>
      <c r="F77" s="7"/>
      <c r="G77" s="7"/>
      <c r="H77" s="7"/>
    </row>
    <row r="78" spans="1:8">
      <c r="A78" s="7"/>
      <c r="B78" s="7"/>
      <c r="C78" s="7"/>
      <c r="D78" s="7"/>
      <c r="E78" s="7"/>
      <c r="F78" s="7"/>
      <c r="G78" s="7"/>
      <c r="H78" s="7"/>
    </row>
    <row r="79" spans="1:8">
      <c r="A79" s="7"/>
      <c r="B79" s="7"/>
      <c r="C79" s="7"/>
      <c r="D79" s="7"/>
      <c r="E79" s="7"/>
      <c r="F79" s="7"/>
      <c r="G79" s="7"/>
      <c r="H79" s="7"/>
    </row>
    <row r="80" spans="1:8">
      <c r="A80" s="7"/>
      <c r="B80" s="7"/>
      <c r="C80" s="7"/>
      <c r="D80" s="7"/>
      <c r="E80" s="7"/>
      <c r="F80" s="7"/>
      <c r="G80" s="7"/>
      <c r="H80" s="7"/>
    </row>
  </sheetData>
  <mergeCells count="33">
    <mergeCell ref="A1:H2"/>
    <mergeCell ref="A4:H4"/>
    <mergeCell ref="A5:H7"/>
    <mergeCell ref="A9:H9"/>
    <mergeCell ref="B11:C11"/>
    <mergeCell ref="F11:H11"/>
    <mergeCell ref="B33:D33"/>
    <mergeCell ref="F12:H12"/>
    <mergeCell ref="F13:H13"/>
    <mergeCell ref="F14:H14"/>
    <mergeCell ref="F15:H15"/>
    <mergeCell ref="A18:H18"/>
    <mergeCell ref="B12:C12"/>
    <mergeCell ref="B13:C13"/>
    <mergeCell ref="B14:C14"/>
    <mergeCell ref="B15:C15"/>
    <mergeCell ref="B16:C16"/>
    <mergeCell ref="A40:H40"/>
    <mergeCell ref="A41:H43"/>
    <mergeCell ref="F28:H28"/>
    <mergeCell ref="G30:H30"/>
    <mergeCell ref="G31:H31"/>
    <mergeCell ref="G32:H32"/>
    <mergeCell ref="G33:H33"/>
    <mergeCell ref="B34:D34"/>
    <mergeCell ref="B35:D35"/>
    <mergeCell ref="B36:D36"/>
    <mergeCell ref="B37:D37"/>
    <mergeCell ref="B38:D38"/>
    <mergeCell ref="A28:D28"/>
    <mergeCell ref="B30:D30"/>
    <mergeCell ref="B31:D31"/>
    <mergeCell ref="B32:D32"/>
  </mergeCells>
  <phoneticPr fontId="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40"/>
  <sheetViews>
    <sheetView tabSelected="1" zoomScale="139" workbookViewId="0">
      <selection activeCell="D2" sqref="D2"/>
    </sheetView>
  </sheetViews>
  <sheetFormatPr baseColWidth="10" defaultColWidth="8.83203125" defaultRowHeight="14"/>
  <cols>
    <col min="1" max="1" width="16" customWidth="1"/>
    <col min="2" max="2" width="7" customWidth="1"/>
    <col min="3" max="3" width="9" customWidth="1"/>
    <col min="4" max="4" width="36" customWidth="1"/>
    <col min="5" max="5" width="20" customWidth="1"/>
    <col min="6" max="6" width="31" customWidth="1"/>
    <col min="7" max="7" width="38" customWidth="1"/>
    <col min="8" max="8" width="34" customWidth="1"/>
    <col min="9" max="9" width="66" customWidth="1"/>
    <col min="10" max="10" width="24" customWidth="1"/>
    <col min="11" max="11" width="22" customWidth="1"/>
    <col min="12" max="12" width="20" customWidth="1"/>
    <col min="13" max="13" width="70" customWidth="1"/>
    <col min="14" max="14" width="19" customWidth="1"/>
    <col min="15" max="15" width="62" customWidth="1"/>
    <col min="16" max="16" width="25" customWidth="1"/>
    <col min="17" max="17" width="62" customWidth="1"/>
    <col min="18" max="18" width="60" customWidth="1"/>
    <col min="19" max="19" width="12" customWidth="1"/>
    <col min="20" max="20" width="78" customWidth="1"/>
  </cols>
  <sheetData>
    <row r="1" spans="1:20" ht="29.5" customHeight="1">
      <c r="A1" s="6" t="s">
        <v>89</v>
      </c>
      <c r="B1" s="6" t="s">
        <v>1922</v>
      </c>
      <c r="C1" s="6" t="s">
        <v>90</v>
      </c>
      <c r="D1" s="6" t="s">
        <v>91</v>
      </c>
      <c r="E1" s="6" t="s">
        <v>92</v>
      </c>
      <c r="F1" s="6" t="s">
        <v>93</v>
      </c>
      <c r="G1" s="6" t="s">
        <v>94</v>
      </c>
      <c r="H1" s="6" t="s">
        <v>95</v>
      </c>
      <c r="I1" s="6" t="s">
        <v>96</v>
      </c>
      <c r="J1" s="6" t="s">
        <v>97</v>
      </c>
      <c r="K1" s="6" t="s">
        <v>98</v>
      </c>
      <c r="L1" s="6" t="s">
        <v>99</v>
      </c>
      <c r="M1" s="6" t="s">
        <v>69</v>
      </c>
      <c r="N1" s="6" t="s">
        <v>100</v>
      </c>
      <c r="O1" s="6" t="s">
        <v>101</v>
      </c>
      <c r="P1" s="6" t="s">
        <v>102</v>
      </c>
      <c r="Q1" s="6" t="s">
        <v>103</v>
      </c>
      <c r="R1" s="6" t="s">
        <v>73</v>
      </c>
      <c r="S1" s="6" t="s">
        <v>104</v>
      </c>
      <c r="T1" s="6" t="s">
        <v>105</v>
      </c>
    </row>
    <row r="2" spans="1:20" ht="52" customHeight="1">
      <c r="A2" s="1" t="s">
        <v>106</v>
      </c>
      <c r="B2" s="1">
        <v>1</v>
      </c>
      <c r="C2" s="1" t="s">
        <v>107</v>
      </c>
      <c r="D2" s="1" t="s">
        <v>108</v>
      </c>
      <c r="E2" s="1" t="s">
        <v>107</v>
      </c>
      <c r="F2" s="1" t="s">
        <v>109</v>
      </c>
      <c r="G2" s="1" t="s">
        <v>110</v>
      </c>
      <c r="H2" s="1" t="s">
        <v>111</v>
      </c>
      <c r="I2" s="1" t="s">
        <v>112</v>
      </c>
      <c r="J2" s="1" t="s">
        <v>113</v>
      </c>
      <c r="K2" s="1" t="s">
        <v>114</v>
      </c>
      <c r="L2" s="1" t="s">
        <v>115</v>
      </c>
      <c r="M2" s="1" t="s">
        <v>116</v>
      </c>
      <c r="N2" s="1" t="s">
        <v>117</v>
      </c>
      <c r="O2" s="1" t="s">
        <v>118</v>
      </c>
      <c r="P2" s="1" t="s">
        <v>119</v>
      </c>
      <c r="Q2" s="1" t="s">
        <v>120</v>
      </c>
      <c r="R2" s="1" t="s">
        <v>121</v>
      </c>
      <c r="S2" s="1"/>
      <c r="T2" s="1" t="s">
        <v>122</v>
      </c>
    </row>
    <row r="3" spans="1:20" ht="52" customHeight="1">
      <c r="A3" s="1" t="s">
        <v>123</v>
      </c>
      <c r="B3" s="1">
        <v>1</v>
      </c>
      <c r="C3" s="1" t="s">
        <v>107</v>
      </c>
      <c r="D3" s="1" t="s">
        <v>124</v>
      </c>
      <c r="E3" s="1" t="s">
        <v>107</v>
      </c>
      <c r="F3" s="1" t="s">
        <v>125</v>
      </c>
      <c r="G3" s="1" t="s">
        <v>126</v>
      </c>
      <c r="H3" s="1" t="s">
        <v>111</v>
      </c>
      <c r="I3" s="1" t="s">
        <v>127</v>
      </c>
      <c r="J3" s="1" t="s">
        <v>128</v>
      </c>
      <c r="K3" s="1" t="s">
        <v>114</v>
      </c>
      <c r="L3" s="1" t="s">
        <v>115</v>
      </c>
      <c r="M3" s="1" t="s">
        <v>129</v>
      </c>
      <c r="N3" s="1" t="s">
        <v>117</v>
      </c>
      <c r="O3" s="1" t="s">
        <v>130</v>
      </c>
      <c r="P3" s="1" t="s">
        <v>131</v>
      </c>
      <c r="Q3" s="1" t="s">
        <v>132</v>
      </c>
      <c r="R3" s="1"/>
      <c r="S3" s="1"/>
      <c r="T3" s="1" t="s">
        <v>133</v>
      </c>
    </row>
    <row r="4" spans="1:20" ht="52" customHeight="1">
      <c r="A4" s="1" t="s">
        <v>134</v>
      </c>
      <c r="B4" s="1">
        <v>1</v>
      </c>
      <c r="C4" s="1" t="s">
        <v>107</v>
      </c>
      <c r="D4" s="1" t="s">
        <v>135</v>
      </c>
      <c r="E4" s="1" t="s">
        <v>107</v>
      </c>
      <c r="F4" s="1" t="s">
        <v>125</v>
      </c>
      <c r="G4" s="1" t="s">
        <v>126</v>
      </c>
      <c r="H4" s="1" t="s">
        <v>111</v>
      </c>
      <c r="I4" s="1" t="s">
        <v>136</v>
      </c>
      <c r="J4" s="1" t="s">
        <v>137</v>
      </c>
      <c r="K4" s="1" t="s">
        <v>114</v>
      </c>
      <c r="L4" s="1" t="s">
        <v>115</v>
      </c>
      <c r="M4" s="1" t="s">
        <v>129</v>
      </c>
      <c r="N4" s="1" t="s">
        <v>117</v>
      </c>
      <c r="O4" s="1" t="s">
        <v>138</v>
      </c>
      <c r="P4" s="1" t="s">
        <v>139</v>
      </c>
      <c r="Q4" s="1" t="s">
        <v>140</v>
      </c>
      <c r="R4" s="1" t="s">
        <v>141</v>
      </c>
      <c r="S4" s="1"/>
      <c r="T4" s="1" t="s">
        <v>142</v>
      </c>
    </row>
    <row r="5" spans="1:20" ht="52" customHeight="1">
      <c r="A5" s="1" t="s">
        <v>143</v>
      </c>
      <c r="B5" s="1">
        <v>1</v>
      </c>
      <c r="C5" s="1" t="s">
        <v>107</v>
      </c>
      <c r="D5" s="1" t="s">
        <v>144</v>
      </c>
      <c r="E5" s="1" t="s">
        <v>107</v>
      </c>
      <c r="F5" s="1" t="s">
        <v>125</v>
      </c>
      <c r="G5" s="1" t="s">
        <v>126</v>
      </c>
      <c r="H5" s="1" t="s">
        <v>111</v>
      </c>
      <c r="I5" s="1" t="s">
        <v>145</v>
      </c>
      <c r="J5" s="1" t="s">
        <v>146</v>
      </c>
      <c r="K5" s="1" t="s">
        <v>114</v>
      </c>
      <c r="L5" s="1" t="s">
        <v>115</v>
      </c>
      <c r="M5" s="1" t="s">
        <v>147</v>
      </c>
      <c r="N5" s="1" t="s">
        <v>117</v>
      </c>
      <c r="O5" s="1" t="s">
        <v>148</v>
      </c>
      <c r="P5" s="1" t="s">
        <v>149</v>
      </c>
      <c r="Q5" s="1" t="s">
        <v>150</v>
      </c>
      <c r="R5" s="1" t="s">
        <v>151</v>
      </c>
      <c r="S5" s="1"/>
      <c r="T5" s="1" t="s">
        <v>152</v>
      </c>
    </row>
    <row r="6" spans="1:20" ht="52" customHeight="1">
      <c r="A6" s="1" t="s">
        <v>153</v>
      </c>
      <c r="B6" s="1">
        <v>1</v>
      </c>
      <c r="C6" s="1" t="s">
        <v>107</v>
      </c>
      <c r="D6" s="1" t="s">
        <v>154</v>
      </c>
      <c r="E6" s="1" t="s">
        <v>107</v>
      </c>
      <c r="F6" s="1" t="s">
        <v>155</v>
      </c>
      <c r="G6" s="1" t="s">
        <v>156</v>
      </c>
      <c r="H6" s="1" t="s">
        <v>157</v>
      </c>
      <c r="I6" s="1" t="s">
        <v>158</v>
      </c>
      <c r="J6" s="1" t="s">
        <v>113</v>
      </c>
      <c r="K6" s="1" t="s">
        <v>114</v>
      </c>
      <c r="L6" s="1" t="s">
        <v>115</v>
      </c>
      <c r="M6" s="1" t="s">
        <v>159</v>
      </c>
      <c r="N6" s="1" t="s">
        <v>117</v>
      </c>
      <c r="O6" s="1" t="s">
        <v>160</v>
      </c>
      <c r="P6" s="1" t="s">
        <v>161</v>
      </c>
      <c r="Q6" s="1" t="s">
        <v>162</v>
      </c>
      <c r="R6" s="1" t="s">
        <v>163</v>
      </c>
      <c r="S6" s="1"/>
      <c r="T6" s="1" t="s">
        <v>164</v>
      </c>
    </row>
    <row r="7" spans="1:20" ht="52" customHeight="1">
      <c r="A7" s="1" t="s">
        <v>165</v>
      </c>
      <c r="B7" s="1">
        <v>1</v>
      </c>
      <c r="C7" s="1" t="s">
        <v>107</v>
      </c>
      <c r="D7" s="1" t="s">
        <v>144</v>
      </c>
      <c r="E7" s="1" t="s">
        <v>107</v>
      </c>
      <c r="F7" s="1" t="s">
        <v>155</v>
      </c>
      <c r="G7" s="1" t="s">
        <v>156</v>
      </c>
      <c r="H7" s="1" t="s">
        <v>157</v>
      </c>
      <c r="I7" s="1" t="s">
        <v>166</v>
      </c>
      <c r="J7" s="1" t="s">
        <v>146</v>
      </c>
      <c r="K7" s="1" t="s">
        <v>114</v>
      </c>
      <c r="L7" s="1" t="s">
        <v>115</v>
      </c>
      <c r="M7" s="1" t="s">
        <v>159</v>
      </c>
      <c r="N7" s="1" t="s">
        <v>117</v>
      </c>
      <c r="O7" s="1" t="s">
        <v>167</v>
      </c>
      <c r="P7" s="1" t="s">
        <v>149</v>
      </c>
      <c r="Q7" s="1" t="s">
        <v>162</v>
      </c>
      <c r="R7" s="1" t="s">
        <v>168</v>
      </c>
      <c r="S7" s="1"/>
      <c r="T7" s="1" t="s">
        <v>169</v>
      </c>
    </row>
    <row r="8" spans="1:20" ht="52" customHeight="1">
      <c r="A8" s="1" t="s">
        <v>170</v>
      </c>
      <c r="B8" s="1">
        <v>1</v>
      </c>
      <c r="C8" s="1" t="s">
        <v>107</v>
      </c>
      <c r="D8" s="1" t="s">
        <v>108</v>
      </c>
      <c r="E8" s="1" t="s">
        <v>107</v>
      </c>
      <c r="F8" s="1" t="s">
        <v>155</v>
      </c>
      <c r="G8" s="1" t="s">
        <v>171</v>
      </c>
      <c r="H8" s="1" t="s">
        <v>172</v>
      </c>
      <c r="I8" s="1" t="s">
        <v>173</v>
      </c>
      <c r="J8" s="1" t="s">
        <v>113</v>
      </c>
      <c r="K8" s="1" t="s">
        <v>114</v>
      </c>
      <c r="L8" s="1" t="s">
        <v>174</v>
      </c>
      <c r="M8" s="1" t="s">
        <v>159</v>
      </c>
      <c r="N8" s="1" t="s">
        <v>117</v>
      </c>
      <c r="O8" s="1" t="s">
        <v>175</v>
      </c>
      <c r="P8" s="1" t="s">
        <v>119</v>
      </c>
      <c r="Q8" s="1" t="s">
        <v>176</v>
      </c>
      <c r="R8" s="1" t="s">
        <v>177</v>
      </c>
      <c r="S8" s="1"/>
      <c r="T8" s="1" t="s">
        <v>178</v>
      </c>
    </row>
    <row r="9" spans="1:20" ht="52" customHeight="1">
      <c r="A9" s="1" t="s">
        <v>179</v>
      </c>
      <c r="B9" s="1">
        <v>1</v>
      </c>
      <c r="C9" s="1" t="s">
        <v>107</v>
      </c>
      <c r="D9" s="1" t="s">
        <v>108</v>
      </c>
      <c r="E9" s="1" t="s">
        <v>107</v>
      </c>
      <c r="F9" s="1" t="s">
        <v>180</v>
      </c>
      <c r="G9" s="1" t="s">
        <v>181</v>
      </c>
      <c r="H9" s="1" t="s">
        <v>111</v>
      </c>
      <c r="I9" s="1" t="s">
        <v>182</v>
      </c>
      <c r="J9" s="1" t="s">
        <v>183</v>
      </c>
      <c r="K9" s="1" t="s">
        <v>114</v>
      </c>
      <c r="L9" s="1" t="s">
        <v>115</v>
      </c>
      <c r="M9" s="1" t="s">
        <v>184</v>
      </c>
      <c r="N9" s="1" t="s">
        <v>117</v>
      </c>
      <c r="O9" s="1" t="s">
        <v>185</v>
      </c>
      <c r="P9" s="1" t="s">
        <v>119</v>
      </c>
      <c r="Q9" s="1" t="s">
        <v>186</v>
      </c>
      <c r="R9" s="1" t="s">
        <v>121</v>
      </c>
      <c r="S9" s="1"/>
      <c r="T9" s="1" t="s">
        <v>187</v>
      </c>
    </row>
    <row r="10" spans="1:20" ht="52" customHeight="1">
      <c r="A10" s="1" t="s">
        <v>188</v>
      </c>
      <c r="B10" s="1">
        <v>1</v>
      </c>
      <c r="C10" s="1" t="s">
        <v>107</v>
      </c>
      <c r="D10" s="1" t="s">
        <v>144</v>
      </c>
      <c r="E10" s="1" t="s">
        <v>107</v>
      </c>
      <c r="F10" s="1" t="s">
        <v>180</v>
      </c>
      <c r="G10" s="1" t="s">
        <v>181</v>
      </c>
      <c r="H10" s="1" t="s">
        <v>111</v>
      </c>
      <c r="I10" s="1" t="s">
        <v>189</v>
      </c>
      <c r="J10" s="1" t="s">
        <v>190</v>
      </c>
      <c r="K10" s="1" t="s">
        <v>191</v>
      </c>
      <c r="L10" s="1" t="s">
        <v>115</v>
      </c>
      <c r="M10" s="1" t="s">
        <v>184</v>
      </c>
      <c r="N10" s="1" t="s">
        <v>117</v>
      </c>
      <c r="O10" s="1" t="s">
        <v>192</v>
      </c>
      <c r="P10" s="1" t="s">
        <v>149</v>
      </c>
      <c r="Q10" s="1" t="s">
        <v>186</v>
      </c>
      <c r="R10" s="1" t="s">
        <v>179</v>
      </c>
      <c r="S10" s="1"/>
      <c r="T10" s="1" t="s">
        <v>193</v>
      </c>
    </row>
    <row r="11" spans="1:20" ht="52" customHeight="1">
      <c r="A11" s="1" t="s">
        <v>194</v>
      </c>
      <c r="B11" s="1">
        <v>1</v>
      </c>
      <c r="C11" s="1" t="s">
        <v>107</v>
      </c>
      <c r="D11" s="1" t="s">
        <v>195</v>
      </c>
      <c r="E11" s="1" t="s">
        <v>107</v>
      </c>
      <c r="F11" s="1" t="s">
        <v>196</v>
      </c>
      <c r="G11" s="1" t="s">
        <v>197</v>
      </c>
      <c r="H11" s="1" t="s">
        <v>111</v>
      </c>
      <c r="I11" s="1" t="s">
        <v>198</v>
      </c>
      <c r="J11" s="1" t="s">
        <v>199</v>
      </c>
      <c r="K11" s="1" t="s">
        <v>200</v>
      </c>
      <c r="L11" s="1" t="s">
        <v>115</v>
      </c>
      <c r="M11" s="1"/>
      <c r="N11" s="1" t="s">
        <v>201</v>
      </c>
      <c r="O11" s="1" t="s">
        <v>202</v>
      </c>
      <c r="P11" s="1" t="s">
        <v>203</v>
      </c>
      <c r="Q11" s="1"/>
      <c r="R11" s="1"/>
      <c r="S11" s="1"/>
      <c r="T11" s="1" t="s">
        <v>204</v>
      </c>
    </row>
    <row r="12" spans="1:20" ht="52" customHeight="1">
      <c r="A12" s="1" t="s">
        <v>121</v>
      </c>
      <c r="B12" s="1">
        <v>1</v>
      </c>
      <c r="C12" s="1" t="s">
        <v>107</v>
      </c>
      <c r="D12" s="1" t="s">
        <v>108</v>
      </c>
      <c r="E12" s="1" t="s">
        <v>107</v>
      </c>
      <c r="F12" s="1" t="s">
        <v>196</v>
      </c>
      <c r="G12" s="1" t="s">
        <v>205</v>
      </c>
      <c r="H12" s="1" t="s">
        <v>111</v>
      </c>
      <c r="I12" s="1" t="s">
        <v>206</v>
      </c>
      <c r="J12" s="1" t="s">
        <v>183</v>
      </c>
      <c r="K12" s="1" t="s">
        <v>114</v>
      </c>
      <c r="L12" s="1" t="s">
        <v>115</v>
      </c>
      <c r="M12" s="1"/>
      <c r="N12" s="1" t="s">
        <v>201</v>
      </c>
      <c r="O12" s="1" t="s">
        <v>207</v>
      </c>
      <c r="P12" s="1" t="s">
        <v>119</v>
      </c>
      <c r="Q12" s="1"/>
      <c r="R12" s="1" t="s">
        <v>177</v>
      </c>
      <c r="S12" s="1"/>
      <c r="T12" s="1" t="s">
        <v>208</v>
      </c>
    </row>
    <row r="13" spans="1:20" ht="52" customHeight="1">
      <c r="A13" s="1" t="s">
        <v>209</v>
      </c>
      <c r="B13" s="1">
        <v>1</v>
      </c>
      <c r="C13" s="1" t="s">
        <v>107</v>
      </c>
      <c r="D13" s="1" t="s">
        <v>210</v>
      </c>
      <c r="E13" s="1" t="s">
        <v>107</v>
      </c>
      <c r="F13" s="1" t="s">
        <v>196</v>
      </c>
      <c r="G13" s="1" t="s">
        <v>211</v>
      </c>
      <c r="H13" s="1" t="s">
        <v>111</v>
      </c>
      <c r="I13" s="1" t="s">
        <v>212</v>
      </c>
      <c r="J13" s="1" t="s">
        <v>183</v>
      </c>
      <c r="K13" s="1" t="s">
        <v>114</v>
      </c>
      <c r="L13" s="1" t="s">
        <v>174</v>
      </c>
      <c r="M13" s="1"/>
      <c r="N13" s="1" t="s">
        <v>201</v>
      </c>
      <c r="O13" s="1" t="s">
        <v>213</v>
      </c>
      <c r="P13" s="1" t="s">
        <v>214</v>
      </c>
      <c r="Q13" s="1"/>
      <c r="R13" s="1" t="s">
        <v>215</v>
      </c>
      <c r="S13" s="1"/>
      <c r="T13" s="1" t="s">
        <v>216</v>
      </c>
    </row>
    <row r="14" spans="1:20" ht="52" customHeight="1">
      <c r="A14" s="1" t="s">
        <v>217</v>
      </c>
      <c r="B14" s="1">
        <v>1</v>
      </c>
      <c r="C14" s="1" t="s">
        <v>107</v>
      </c>
      <c r="D14" s="1" t="s">
        <v>218</v>
      </c>
      <c r="E14" s="1" t="s">
        <v>107</v>
      </c>
      <c r="F14" s="1" t="s">
        <v>196</v>
      </c>
      <c r="G14" s="1" t="s">
        <v>219</v>
      </c>
      <c r="H14" s="1" t="s">
        <v>111</v>
      </c>
      <c r="I14" s="1" t="s">
        <v>220</v>
      </c>
      <c r="J14" s="1" t="s">
        <v>183</v>
      </c>
      <c r="K14" s="1" t="s">
        <v>221</v>
      </c>
      <c r="L14" s="1" t="s">
        <v>174</v>
      </c>
      <c r="M14" s="1"/>
      <c r="N14" s="1" t="s">
        <v>201</v>
      </c>
      <c r="O14" s="1" t="s">
        <v>222</v>
      </c>
      <c r="P14" s="1" t="s">
        <v>223</v>
      </c>
      <c r="Q14" s="1"/>
      <c r="R14" s="1" t="s">
        <v>224</v>
      </c>
      <c r="S14" s="1"/>
      <c r="T14" s="1" t="s">
        <v>225</v>
      </c>
    </row>
    <row r="15" spans="1:20" ht="52" customHeight="1">
      <c r="A15" s="1" t="s">
        <v>226</v>
      </c>
      <c r="B15" s="1">
        <v>1</v>
      </c>
      <c r="C15" s="1" t="s">
        <v>107</v>
      </c>
      <c r="D15" s="1" t="s">
        <v>218</v>
      </c>
      <c r="E15" s="1" t="s">
        <v>107</v>
      </c>
      <c r="F15" s="1" t="s">
        <v>196</v>
      </c>
      <c r="G15" s="1" t="s">
        <v>227</v>
      </c>
      <c r="H15" s="1" t="s">
        <v>111</v>
      </c>
      <c r="I15" s="1" t="s">
        <v>228</v>
      </c>
      <c r="J15" s="1" t="s">
        <v>183</v>
      </c>
      <c r="K15" s="1" t="s">
        <v>114</v>
      </c>
      <c r="L15" s="1" t="s">
        <v>115</v>
      </c>
      <c r="M15" s="1"/>
      <c r="N15" s="1" t="s">
        <v>201</v>
      </c>
      <c r="O15" s="1" t="s">
        <v>229</v>
      </c>
      <c r="P15" s="1" t="s">
        <v>223</v>
      </c>
      <c r="Q15" s="1"/>
      <c r="R15" s="1" t="s">
        <v>224</v>
      </c>
      <c r="S15" s="1"/>
      <c r="T15" s="1" t="s">
        <v>230</v>
      </c>
    </row>
    <row r="16" spans="1:20" ht="52" customHeight="1">
      <c r="A16" s="1" t="s">
        <v>231</v>
      </c>
      <c r="B16" s="1">
        <v>1</v>
      </c>
      <c r="C16" s="1" t="s">
        <v>107</v>
      </c>
      <c r="D16" s="1" t="s">
        <v>135</v>
      </c>
      <c r="E16" s="1" t="s">
        <v>107</v>
      </c>
      <c r="F16" s="1" t="s">
        <v>232</v>
      </c>
      <c r="G16" s="1" t="s">
        <v>233</v>
      </c>
      <c r="H16" s="1" t="s">
        <v>111</v>
      </c>
      <c r="I16" s="1" t="s">
        <v>136</v>
      </c>
      <c r="J16" s="1" t="s">
        <v>137</v>
      </c>
      <c r="K16" s="1" t="s">
        <v>114</v>
      </c>
      <c r="L16" s="1" t="s">
        <v>115</v>
      </c>
      <c r="M16" s="1" t="s">
        <v>234</v>
      </c>
      <c r="N16" s="1" t="s">
        <v>117</v>
      </c>
      <c r="O16" s="1" t="s">
        <v>235</v>
      </c>
      <c r="P16" s="1" t="s">
        <v>139</v>
      </c>
      <c r="Q16" s="1" t="s">
        <v>236</v>
      </c>
      <c r="R16" s="1" t="s">
        <v>141</v>
      </c>
      <c r="S16" s="1"/>
      <c r="T16" s="1" t="s">
        <v>237</v>
      </c>
    </row>
    <row r="17" spans="1:20" ht="52" customHeight="1">
      <c r="A17" s="1" t="s">
        <v>238</v>
      </c>
      <c r="B17" s="1">
        <v>1</v>
      </c>
      <c r="C17" s="1" t="s">
        <v>107</v>
      </c>
      <c r="D17" s="1" t="s">
        <v>144</v>
      </c>
      <c r="E17" s="1" t="s">
        <v>107</v>
      </c>
      <c r="F17" s="1" t="s">
        <v>232</v>
      </c>
      <c r="G17" s="1" t="s">
        <v>233</v>
      </c>
      <c r="H17" s="1" t="s">
        <v>111</v>
      </c>
      <c r="I17" s="1" t="s">
        <v>145</v>
      </c>
      <c r="J17" s="1" t="s">
        <v>146</v>
      </c>
      <c r="K17" s="1" t="s">
        <v>114</v>
      </c>
      <c r="L17" s="1" t="s">
        <v>115</v>
      </c>
      <c r="M17" s="1" t="s">
        <v>239</v>
      </c>
      <c r="N17" s="1" t="s">
        <v>117</v>
      </c>
      <c r="O17" s="1" t="s">
        <v>240</v>
      </c>
      <c r="P17" s="1" t="s">
        <v>149</v>
      </c>
      <c r="Q17" s="1" t="s">
        <v>241</v>
      </c>
      <c r="R17" s="1" t="s">
        <v>242</v>
      </c>
      <c r="S17" s="1"/>
      <c r="T17" s="1" t="s">
        <v>243</v>
      </c>
    </row>
    <row r="18" spans="1:20" ht="52" customHeight="1">
      <c r="A18" s="1" t="s">
        <v>244</v>
      </c>
      <c r="B18" s="1">
        <v>1</v>
      </c>
      <c r="C18" s="1" t="s">
        <v>107</v>
      </c>
      <c r="D18" s="1" t="s">
        <v>144</v>
      </c>
      <c r="E18" s="1" t="s">
        <v>107</v>
      </c>
      <c r="F18" s="1" t="s">
        <v>245</v>
      </c>
      <c r="G18" s="1" t="s">
        <v>246</v>
      </c>
      <c r="H18" s="1" t="s">
        <v>111</v>
      </c>
      <c r="I18" s="1" t="s">
        <v>247</v>
      </c>
      <c r="J18" s="1" t="s">
        <v>113</v>
      </c>
      <c r="K18" s="1" t="s">
        <v>114</v>
      </c>
      <c r="L18" s="1" t="s">
        <v>115</v>
      </c>
      <c r="M18" s="1" t="s">
        <v>248</v>
      </c>
      <c r="N18" s="1" t="s">
        <v>117</v>
      </c>
      <c r="O18" s="1" t="s">
        <v>249</v>
      </c>
      <c r="P18" s="1" t="s">
        <v>250</v>
      </c>
      <c r="Q18" s="1" t="s">
        <v>251</v>
      </c>
      <c r="R18" s="1" t="s">
        <v>194</v>
      </c>
      <c r="S18" s="1"/>
      <c r="T18" s="1" t="s">
        <v>252</v>
      </c>
    </row>
    <row r="19" spans="1:20" ht="52" customHeight="1">
      <c r="A19" s="1" t="s">
        <v>253</v>
      </c>
      <c r="B19" s="1">
        <v>1</v>
      </c>
      <c r="C19" s="1" t="s">
        <v>107</v>
      </c>
      <c r="D19" s="1" t="s">
        <v>144</v>
      </c>
      <c r="E19" s="1" t="s">
        <v>107</v>
      </c>
      <c r="F19" s="1" t="s">
        <v>245</v>
      </c>
      <c r="G19" s="1" t="s">
        <v>246</v>
      </c>
      <c r="H19" s="1" t="s">
        <v>111</v>
      </c>
      <c r="I19" s="1" t="s">
        <v>254</v>
      </c>
      <c r="J19" s="1" t="s">
        <v>190</v>
      </c>
      <c r="K19" s="1" t="s">
        <v>191</v>
      </c>
      <c r="L19" s="1" t="s">
        <v>115</v>
      </c>
      <c r="M19" s="1" t="s">
        <v>248</v>
      </c>
      <c r="N19" s="1" t="s">
        <v>117</v>
      </c>
      <c r="O19" s="1" t="s">
        <v>255</v>
      </c>
      <c r="P19" s="1" t="s">
        <v>149</v>
      </c>
      <c r="Q19" s="1" t="s">
        <v>251</v>
      </c>
      <c r="R19" s="1" t="s">
        <v>244</v>
      </c>
      <c r="S19" s="1"/>
      <c r="T19" s="1" t="s">
        <v>256</v>
      </c>
    </row>
    <row r="20" spans="1:20" ht="52" customHeight="1">
      <c r="A20" s="1" t="s">
        <v>257</v>
      </c>
      <c r="B20" s="1">
        <v>1</v>
      </c>
      <c r="C20" s="1" t="s">
        <v>107</v>
      </c>
      <c r="D20" s="1" t="s">
        <v>124</v>
      </c>
      <c r="E20" s="1" t="s">
        <v>107</v>
      </c>
      <c r="F20" s="1" t="s">
        <v>258</v>
      </c>
      <c r="G20" s="1" t="s">
        <v>259</v>
      </c>
      <c r="H20" s="1" t="s">
        <v>157</v>
      </c>
      <c r="I20" s="1" t="s">
        <v>260</v>
      </c>
      <c r="J20" s="1" t="s">
        <v>128</v>
      </c>
      <c r="K20" s="1" t="s">
        <v>114</v>
      </c>
      <c r="L20" s="1" t="s">
        <v>115</v>
      </c>
      <c r="M20" s="1" t="s">
        <v>261</v>
      </c>
      <c r="N20" s="1" t="s">
        <v>117</v>
      </c>
      <c r="O20" s="1" t="s">
        <v>262</v>
      </c>
      <c r="P20" s="1" t="s">
        <v>131</v>
      </c>
      <c r="Q20" s="1" t="s">
        <v>132</v>
      </c>
      <c r="R20" s="1"/>
      <c r="S20" s="1"/>
      <c r="T20" s="1" t="s">
        <v>263</v>
      </c>
    </row>
    <row r="21" spans="1:20" ht="52" customHeight="1">
      <c r="A21" s="1" t="s">
        <v>264</v>
      </c>
      <c r="B21" s="1">
        <v>1</v>
      </c>
      <c r="C21" s="1" t="s">
        <v>107</v>
      </c>
      <c r="D21" s="1" t="s">
        <v>144</v>
      </c>
      <c r="E21" s="1" t="s">
        <v>107</v>
      </c>
      <c r="F21" s="1" t="s">
        <v>258</v>
      </c>
      <c r="G21" s="1" t="s">
        <v>259</v>
      </c>
      <c r="H21" s="1" t="s">
        <v>157</v>
      </c>
      <c r="I21" s="1" t="s">
        <v>265</v>
      </c>
      <c r="J21" s="1" t="s">
        <v>146</v>
      </c>
      <c r="K21" s="1" t="s">
        <v>114</v>
      </c>
      <c r="L21" s="1" t="s">
        <v>115</v>
      </c>
      <c r="M21" s="1" t="s">
        <v>266</v>
      </c>
      <c r="N21" s="1" t="s">
        <v>117</v>
      </c>
      <c r="O21" s="1" t="s">
        <v>267</v>
      </c>
      <c r="P21" s="1" t="s">
        <v>149</v>
      </c>
      <c r="Q21" s="1" t="s">
        <v>150</v>
      </c>
      <c r="R21" s="1" t="s">
        <v>268</v>
      </c>
      <c r="S21" s="1"/>
      <c r="T21" s="1" t="s">
        <v>269</v>
      </c>
    </row>
    <row r="22" spans="1:20" ht="52" customHeight="1">
      <c r="A22" s="1" t="s">
        <v>270</v>
      </c>
      <c r="B22" s="1">
        <v>1</v>
      </c>
      <c r="C22" s="1" t="s">
        <v>107</v>
      </c>
      <c r="D22" s="1" t="s">
        <v>135</v>
      </c>
      <c r="E22" s="1" t="s">
        <v>107</v>
      </c>
      <c r="F22" s="1" t="s">
        <v>196</v>
      </c>
      <c r="G22" s="1" t="s">
        <v>259</v>
      </c>
      <c r="H22" s="1" t="s">
        <v>172</v>
      </c>
      <c r="I22" s="1" t="s">
        <v>271</v>
      </c>
      <c r="J22" s="1" t="s">
        <v>137</v>
      </c>
      <c r="K22" s="1" t="s">
        <v>114</v>
      </c>
      <c r="L22" s="1" t="s">
        <v>272</v>
      </c>
      <c r="M22" s="1"/>
      <c r="N22" s="1" t="s">
        <v>201</v>
      </c>
      <c r="O22" s="1" t="s">
        <v>273</v>
      </c>
      <c r="P22" s="1" t="s">
        <v>139</v>
      </c>
      <c r="Q22" s="1"/>
      <c r="R22" s="1"/>
      <c r="S22" s="1"/>
      <c r="T22" s="1" t="s">
        <v>274</v>
      </c>
    </row>
    <row r="23" spans="1:20" ht="52" customHeight="1">
      <c r="A23" s="1" t="s">
        <v>275</v>
      </c>
      <c r="B23" s="1">
        <v>1</v>
      </c>
      <c r="C23" s="1" t="s">
        <v>107</v>
      </c>
      <c r="D23" s="1" t="s">
        <v>144</v>
      </c>
      <c r="E23" s="1" t="s">
        <v>107</v>
      </c>
      <c r="F23" s="1" t="s">
        <v>258</v>
      </c>
      <c r="G23" s="1" t="s">
        <v>259</v>
      </c>
      <c r="H23" s="1" t="s">
        <v>172</v>
      </c>
      <c r="I23" s="1" t="s">
        <v>276</v>
      </c>
      <c r="J23" s="1" t="s">
        <v>146</v>
      </c>
      <c r="K23" s="1" t="s">
        <v>114</v>
      </c>
      <c r="L23" s="1" t="s">
        <v>115</v>
      </c>
      <c r="M23" s="1" t="s">
        <v>266</v>
      </c>
      <c r="N23" s="1" t="s">
        <v>117</v>
      </c>
      <c r="O23" s="1" t="s">
        <v>277</v>
      </c>
      <c r="P23" s="1" t="s">
        <v>149</v>
      </c>
      <c r="Q23" s="1" t="s">
        <v>150</v>
      </c>
      <c r="R23" s="1" t="s">
        <v>278</v>
      </c>
      <c r="S23" s="1"/>
      <c r="T23" s="1" t="s">
        <v>279</v>
      </c>
    </row>
    <row r="24" spans="1:20" ht="52" customHeight="1">
      <c r="A24" s="1" t="s">
        <v>280</v>
      </c>
      <c r="B24" s="1">
        <v>1</v>
      </c>
      <c r="C24" s="1" t="s">
        <v>107</v>
      </c>
      <c r="D24" s="1" t="s">
        <v>281</v>
      </c>
      <c r="E24" s="1" t="s">
        <v>107</v>
      </c>
      <c r="F24" s="1" t="s">
        <v>258</v>
      </c>
      <c r="G24" s="1" t="s">
        <v>282</v>
      </c>
      <c r="H24" s="1" t="s">
        <v>157</v>
      </c>
      <c r="I24" s="1" t="s">
        <v>283</v>
      </c>
      <c r="J24" s="1" t="s">
        <v>128</v>
      </c>
      <c r="K24" s="1" t="s">
        <v>114</v>
      </c>
      <c r="L24" s="1" t="s">
        <v>115</v>
      </c>
      <c r="M24" s="1" t="s">
        <v>284</v>
      </c>
      <c r="N24" s="1" t="s">
        <v>117</v>
      </c>
      <c r="O24" s="1" t="s">
        <v>285</v>
      </c>
      <c r="P24" s="1" t="s">
        <v>131</v>
      </c>
      <c r="Q24" s="1" t="s">
        <v>286</v>
      </c>
      <c r="R24" s="1" t="s">
        <v>287</v>
      </c>
      <c r="S24" s="1"/>
      <c r="T24" s="1" t="s">
        <v>288</v>
      </c>
    </row>
    <row r="25" spans="1:20" ht="52" customHeight="1">
      <c r="A25" s="1" t="s">
        <v>289</v>
      </c>
      <c r="B25" s="1">
        <v>1</v>
      </c>
      <c r="C25" s="1" t="s">
        <v>107</v>
      </c>
      <c r="D25" s="1" t="s">
        <v>290</v>
      </c>
      <c r="E25" s="1" t="s">
        <v>107</v>
      </c>
      <c r="F25" s="1" t="s">
        <v>258</v>
      </c>
      <c r="G25" s="1" t="s">
        <v>282</v>
      </c>
      <c r="H25" s="1" t="s">
        <v>157</v>
      </c>
      <c r="I25" s="1" t="s">
        <v>291</v>
      </c>
      <c r="J25" s="1" t="s">
        <v>190</v>
      </c>
      <c r="K25" s="1" t="s">
        <v>191</v>
      </c>
      <c r="L25" s="1" t="s">
        <v>115</v>
      </c>
      <c r="M25" s="1" t="s">
        <v>284</v>
      </c>
      <c r="N25" s="1" t="s">
        <v>117</v>
      </c>
      <c r="O25" s="1" t="s">
        <v>292</v>
      </c>
      <c r="P25" s="1" t="s">
        <v>149</v>
      </c>
      <c r="Q25" s="1" t="s">
        <v>293</v>
      </c>
      <c r="R25" s="1" t="s">
        <v>280</v>
      </c>
      <c r="S25" s="1"/>
      <c r="T25" s="1"/>
    </row>
    <row r="26" spans="1:20" ht="52" customHeight="1">
      <c r="A26" s="1" t="s">
        <v>294</v>
      </c>
      <c r="B26" s="1">
        <v>1</v>
      </c>
      <c r="C26" s="1" t="s">
        <v>107</v>
      </c>
      <c r="D26" s="1" t="s">
        <v>124</v>
      </c>
      <c r="E26" s="1" t="s">
        <v>107</v>
      </c>
      <c r="F26" s="1" t="s">
        <v>109</v>
      </c>
      <c r="G26" s="1" t="s">
        <v>295</v>
      </c>
      <c r="H26" s="1" t="s">
        <v>111</v>
      </c>
      <c r="I26" s="1" t="s">
        <v>296</v>
      </c>
      <c r="J26" s="1" t="s">
        <v>128</v>
      </c>
      <c r="K26" s="1" t="s">
        <v>114</v>
      </c>
      <c r="L26" s="1" t="s">
        <v>115</v>
      </c>
      <c r="M26" s="1" t="s">
        <v>297</v>
      </c>
      <c r="N26" s="1" t="s">
        <v>117</v>
      </c>
      <c r="O26" s="1" t="s">
        <v>298</v>
      </c>
      <c r="P26" s="1" t="s">
        <v>131</v>
      </c>
      <c r="Q26" s="1" t="s">
        <v>299</v>
      </c>
      <c r="R26" s="1"/>
      <c r="S26" s="1"/>
      <c r="T26" s="1" t="s">
        <v>300</v>
      </c>
    </row>
    <row r="27" spans="1:20" ht="52" customHeight="1">
      <c r="A27" s="1" t="s">
        <v>301</v>
      </c>
      <c r="B27" s="1">
        <v>1</v>
      </c>
      <c r="C27" s="1" t="s">
        <v>107</v>
      </c>
      <c r="D27" s="1" t="s">
        <v>144</v>
      </c>
      <c r="E27" s="1" t="s">
        <v>107</v>
      </c>
      <c r="F27" s="1" t="s">
        <v>196</v>
      </c>
      <c r="G27" s="1" t="s">
        <v>302</v>
      </c>
      <c r="H27" s="1" t="s">
        <v>111</v>
      </c>
      <c r="I27" s="1" t="s">
        <v>303</v>
      </c>
      <c r="J27" s="1" t="s">
        <v>190</v>
      </c>
      <c r="K27" s="1" t="s">
        <v>191</v>
      </c>
      <c r="L27" s="1" t="s">
        <v>115</v>
      </c>
      <c r="M27" s="1" t="s">
        <v>116</v>
      </c>
      <c r="N27" s="1" t="s">
        <v>201</v>
      </c>
      <c r="O27" s="1" t="s">
        <v>304</v>
      </c>
      <c r="P27" s="1" t="s">
        <v>149</v>
      </c>
      <c r="Q27" s="1"/>
      <c r="R27" s="1" t="s">
        <v>305</v>
      </c>
      <c r="S27" s="1"/>
      <c r="T27" s="1" t="s">
        <v>306</v>
      </c>
    </row>
    <row r="28" spans="1:20" ht="52" customHeight="1">
      <c r="A28" s="1" t="s">
        <v>307</v>
      </c>
      <c r="B28" s="1">
        <v>1</v>
      </c>
      <c r="C28" s="1" t="s">
        <v>107</v>
      </c>
      <c r="D28" s="1" t="s">
        <v>144</v>
      </c>
      <c r="E28" s="1" t="s">
        <v>107</v>
      </c>
      <c r="F28" s="1" t="s">
        <v>109</v>
      </c>
      <c r="G28" s="1" t="s">
        <v>295</v>
      </c>
      <c r="H28" s="1" t="s">
        <v>157</v>
      </c>
      <c r="I28" s="1" t="s">
        <v>308</v>
      </c>
      <c r="J28" s="1" t="s">
        <v>190</v>
      </c>
      <c r="K28" s="1" t="s">
        <v>191</v>
      </c>
      <c r="L28" s="1" t="s">
        <v>115</v>
      </c>
      <c r="M28" s="1" t="s">
        <v>297</v>
      </c>
      <c r="N28" s="1" t="s">
        <v>117</v>
      </c>
      <c r="O28" s="1" t="s">
        <v>309</v>
      </c>
      <c r="P28" s="1" t="s">
        <v>149</v>
      </c>
      <c r="Q28" s="1" t="s">
        <v>310</v>
      </c>
      <c r="R28" s="1" t="s">
        <v>311</v>
      </c>
      <c r="S28" s="1"/>
      <c r="T28" s="1" t="s">
        <v>312</v>
      </c>
    </row>
    <row r="29" spans="1:20" ht="52" customHeight="1">
      <c r="A29" s="1" t="s">
        <v>313</v>
      </c>
      <c r="B29" s="1">
        <v>1</v>
      </c>
      <c r="C29" s="1" t="s">
        <v>107</v>
      </c>
      <c r="D29" s="1" t="s">
        <v>144</v>
      </c>
      <c r="E29" s="1" t="s">
        <v>107</v>
      </c>
      <c r="F29" s="1" t="s">
        <v>125</v>
      </c>
      <c r="G29" s="1" t="s">
        <v>314</v>
      </c>
      <c r="H29" s="1" t="s">
        <v>111</v>
      </c>
      <c r="I29" s="1" t="s">
        <v>315</v>
      </c>
      <c r="J29" s="1" t="s">
        <v>146</v>
      </c>
      <c r="K29" s="1" t="s">
        <v>114</v>
      </c>
      <c r="L29" s="1" t="s">
        <v>115</v>
      </c>
      <c r="M29" s="1" t="s">
        <v>316</v>
      </c>
      <c r="N29" s="1" t="s">
        <v>117</v>
      </c>
      <c r="O29" s="1" t="s">
        <v>317</v>
      </c>
      <c r="P29" s="1" t="s">
        <v>149</v>
      </c>
      <c r="Q29" s="1" t="s">
        <v>318</v>
      </c>
      <c r="R29" s="1" t="s">
        <v>319</v>
      </c>
      <c r="S29" s="1"/>
      <c r="T29" s="1" t="s">
        <v>320</v>
      </c>
    </row>
    <row r="30" spans="1:20" ht="52" customHeight="1">
      <c r="A30" s="1" t="s">
        <v>321</v>
      </c>
      <c r="B30" s="1">
        <v>1</v>
      </c>
      <c r="C30" s="1" t="s">
        <v>107</v>
      </c>
      <c r="D30" s="1" t="s">
        <v>144</v>
      </c>
      <c r="E30" s="1" t="s">
        <v>107</v>
      </c>
      <c r="F30" s="1" t="s">
        <v>232</v>
      </c>
      <c r="G30" s="1" t="s">
        <v>322</v>
      </c>
      <c r="H30" s="1" t="s">
        <v>111</v>
      </c>
      <c r="I30" s="1" t="s">
        <v>315</v>
      </c>
      <c r="J30" s="1" t="s">
        <v>146</v>
      </c>
      <c r="K30" s="1" t="s">
        <v>114</v>
      </c>
      <c r="L30" s="1" t="s">
        <v>115</v>
      </c>
      <c r="M30" s="1" t="s">
        <v>323</v>
      </c>
      <c r="N30" s="1" t="s">
        <v>117</v>
      </c>
      <c r="O30" s="1" t="s">
        <v>324</v>
      </c>
      <c r="P30" s="1" t="s">
        <v>149</v>
      </c>
      <c r="Q30" s="1" t="s">
        <v>310</v>
      </c>
      <c r="R30" s="1" t="s">
        <v>325</v>
      </c>
      <c r="S30" s="1"/>
      <c r="T30" s="1" t="s">
        <v>326</v>
      </c>
    </row>
    <row r="31" spans="1:20" ht="52" customHeight="1">
      <c r="A31" s="1" t="s">
        <v>327</v>
      </c>
      <c r="B31" s="1">
        <v>1</v>
      </c>
      <c r="C31" s="1" t="s">
        <v>107</v>
      </c>
      <c r="D31" s="1" t="s">
        <v>144</v>
      </c>
      <c r="E31" s="1" t="s">
        <v>107</v>
      </c>
      <c r="F31" s="1" t="s">
        <v>258</v>
      </c>
      <c r="G31" s="1" t="s">
        <v>328</v>
      </c>
      <c r="H31" s="1" t="s">
        <v>111</v>
      </c>
      <c r="I31" s="1" t="s">
        <v>315</v>
      </c>
      <c r="J31" s="1" t="s">
        <v>146</v>
      </c>
      <c r="K31" s="1" t="s">
        <v>114</v>
      </c>
      <c r="L31" s="1" t="s">
        <v>115</v>
      </c>
      <c r="M31" s="1" t="s">
        <v>329</v>
      </c>
      <c r="N31" s="1" t="s">
        <v>117</v>
      </c>
      <c r="O31" s="1" t="s">
        <v>330</v>
      </c>
      <c r="P31" s="1" t="s">
        <v>149</v>
      </c>
      <c r="Q31" s="1" t="s">
        <v>318</v>
      </c>
      <c r="R31" s="1" t="s">
        <v>331</v>
      </c>
      <c r="S31" s="1"/>
      <c r="T31" s="1" t="s">
        <v>332</v>
      </c>
    </row>
    <row r="32" spans="1:20" ht="52" customHeight="1">
      <c r="A32" s="1" t="s">
        <v>333</v>
      </c>
      <c r="B32" s="1">
        <v>1</v>
      </c>
      <c r="C32" s="1" t="s">
        <v>107</v>
      </c>
      <c r="D32" s="1" t="s">
        <v>290</v>
      </c>
      <c r="E32" s="1" t="s">
        <v>107</v>
      </c>
      <c r="F32" s="1" t="s">
        <v>258</v>
      </c>
      <c r="G32" s="1" t="s">
        <v>282</v>
      </c>
      <c r="H32" s="1" t="s">
        <v>157</v>
      </c>
      <c r="I32" s="1" t="s">
        <v>265</v>
      </c>
      <c r="J32" s="1" t="s">
        <v>146</v>
      </c>
      <c r="K32" s="1" t="s">
        <v>114</v>
      </c>
      <c r="L32" s="1" t="s">
        <v>115</v>
      </c>
      <c r="M32" s="1" t="s">
        <v>284</v>
      </c>
      <c r="N32" s="1" t="s">
        <v>117</v>
      </c>
      <c r="O32" s="1" t="s">
        <v>334</v>
      </c>
      <c r="P32" s="1" t="s">
        <v>149</v>
      </c>
      <c r="Q32" s="1" t="s">
        <v>293</v>
      </c>
      <c r="R32" s="1" t="s">
        <v>335</v>
      </c>
      <c r="S32" s="1"/>
      <c r="T32" s="1" t="s">
        <v>336</v>
      </c>
    </row>
    <row r="33" spans="1:20" ht="52" customHeight="1">
      <c r="A33" s="1" t="s">
        <v>337</v>
      </c>
      <c r="B33" s="1">
        <v>1</v>
      </c>
      <c r="C33" s="1" t="s">
        <v>107</v>
      </c>
      <c r="D33" s="1" t="s">
        <v>290</v>
      </c>
      <c r="E33" s="1" t="s">
        <v>107</v>
      </c>
      <c r="F33" s="1" t="s">
        <v>258</v>
      </c>
      <c r="G33" s="1" t="s">
        <v>338</v>
      </c>
      <c r="H33" s="1" t="s">
        <v>172</v>
      </c>
      <c r="I33" s="1" t="s">
        <v>276</v>
      </c>
      <c r="J33" s="1" t="s">
        <v>146</v>
      </c>
      <c r="K33" s="1" t="s">
        <v>114</v>
      </c>
      <c r="L33" s="1" t="s">
        <v>115</v>
      </c>
      <c r="M33" s="1" t="s">
        <v>284</v>
      </c>
      <c r="N33" s="1" t="s">
        <v>117</v>
      </c>
      <c r="O33" s="1" t="s">
        <v>339</v>
      </c>
      <c r="P33" s="1" t="s">
        <v>149</v>
      </c>
      <c r="Q33" s="1" t="s">
        <v>340</v>
      </c>
      <c r="R33" s="1" t="s">
        <v>341</v>
      </c>
      <c r="S33" s="1"/>
      <c r="T33" s="1" t="s">
        <v>342</v>
      </c>
    </row>
    <row r="34" spans="1:20" ht="52" customHeight="1">
      <c r="A34" s="1" t="s">
        <v>343</v>
      </c>
      <c r="B34" s="1">
        <v>1</v>
      </c>
      <c r="C34" s="1" t="s">
        <v>107</v>
      </c>
      <c r="D34" s="1" t="s">
        <v>210</v>
      </c>
      <c r="E34" s="1" t="s">
        <v>107</v>
      </c>
      <c r="F34" s="1" t="s">
        <v>155</v>
      </c>
      <c r="G34" s="1" t="s">
        <v>344</v>
      </c>
      <c r="H34" s="1" t="s">
        <v>157</v>
      </c>
      <c r="I34" s="1" t="s">
        <v>345</v>
      </c>
      <c r="J34" s="1" t="s">
        <v>199</v>
      </c>
      <c r="K34" s="1" t="s">
        <v>200</v>
      </c>
      <c r="L34" s="1" t="s">
        <v>115</v>
      </c>
      <c r="M34" s="1" t="s">
        <v>159</v>
      </c>
      <c r="N34" s="1" t="s">
        <v>201</v>
      </c>
      <c r="O34" s="1" t="s">
        <v>346</v>
      </c>
      <c r="P34" s="1" t="s">
        <v>161</v>
      </c>
      <c r="Q34" s="1"/>
      <c r="R34" s="1" t="s">
        <v>194</v>
      </c>
      <c r="S34" s="1"/>
      <c r="T34" s="1" t="s">
        <v>347</v>
      </c>
    </row>
    <row r="35" spans="1:20" ht="52" customHeight="1">
      <c r="A35" s="1" t="s">
        <v>168</v>
      </c>
      <c r="B35" s="1">
        <v>1</v>
      </c>
      <c r="C35" s="1" t="s">
        <v>107</v>
      </c>
      <c r="D35" s="1" t="s">
        <v>154</v>
      </c>
      <c r="E35" s="1" t="s">
        <v>107</v>
      </c>
      <c r="F35" s="1" t="s">
        <v>155</v>
      </c>
      <c r="G35" s="1" t="s">
        <v>156</v>
      </c>
      <c r="H35" s="1" t="s">
        <v>157</v>
      </c>
      <c r="I35" s="1" t="s">
        <v>348</v>
      </c>
      <c r="J35" s="1" t="s">
        <v>190</v>
      </c>
      <c r="K35" s="1" t="s">
        <v>191</v>
      </c>
      <c r="L35" s="1" t="s">
        <v>115</v>
      </c>
      <c r="M35" s="1" t="s">
        <v>159</v>
      </c>
      <c r="N35" s="1" t="s">
        <v>117</v>
      </c>
      <c r="O35" s="1" t="s">
        <v>349</v>
      </c>
      <c r="P35" s="1" t="s">
        <v>149</v>
      </c>
      <c r="Q35" s="1" t="s">
        <v>176</v>
      </c>
      <c r="R35" s="1" t="s">
        <v>153</v>
      </c>
      <c r="S35" s="1"/>
      <c r="T35" s="1" t="s">
        <v>350</v>
      </c>
    </row>
    <row r="36" spans="1:20" ht="52" customHeight="1">
      <c r="A36" s="1" t="s">
        <v>351</v>
      </c>
      <c r="B36" s="1">
        <v>1</v>
      </c>
      <c r="C36" s="1" t="s">
        <v>107</v>
      </c>
      <c r="D36" s="1" t="s">
        <v>195</v>
      </c>
      <c r="E36" s="1" t="s">
        <v>107</v>
      </c>
      <c r="F36" s="1" t="s">
        <v>196</v>
      </c>
      <c r="G36" s="1" t="s">
        <v>197</v>
      </c>
      <c r="H36" s="1" t="s">
        <v>111</v>
      </c>
      <c r="I36" s="1" t="s">
        <v>352</v>
      </c>
      <c r="J36" s="1" t="s">
        <v>183</v>
      </c>
      <c r="K36" s="1" t="s">
        <v>114</v>
      </c>
      <c r="L36" s="1" t="s">
        <v>115</v>
      </c>
      <c r="M36" s="1"/>
      <c r="N36" s="1" t="s">
        <v>201</v>
      </c>
      <c r="O36" s="1" t="s">
        <v>353</v>
      </c>
      <c r="P36" s="1" t="s">
        <v>203</v>
      </c>
      <c r="Q36" s="1"/>
      <c r="R36" s="1" t="s">
        <v>194</v>
      </c>
      <c r="S36" s="1"/>
      <c r="T36" s="1" t="s">
        <v>354</v>
      </c>
    </row>
    <row r="37" spans="1:20" ht="52" customHeight="1">
      <c r="A37" s="1" t="s">
        <v>177</v>
      </c>
      <c r="B37" s="1">
        <v>1</v>
      </c>
      <c r="C37" s="1" t="s">
        <v>107</v>
      </c>
      <c r="D37" s="1" t="s">
        <v>108</v>
      </c>
      <c r="E37" s="1" t="s">
        <v>107</v>
      </c>
      <c r="F37" s="1" t="s">
        <v>196</v>
      </c>
      <c r="G37" s="1" t="s">
        <v>355</v>
      </c>
      <c r="H37" s="1" t="s">
        <v>111</v>
      </c>
      <c r="I37" s="1" t="s">
        <v>356</v>
      </c>
      <c r="J37" s="1" t="s">
        <v>199</v>
      </c>
      <c r="K37" s="1" t="s">
        <v>200</v>
      </c>
      <c r="L37" s="1" t="s">
        <v>115</v>
      </c>
      <c r="M37" s="1"/>
      <c r="N37" s="1" t="s">
        <v>201</v>
      </c>
      <c r="O37" s="1" t="s">
        <v>357</v>
      </c>
      <c r="P37" s="1" t="s">
        <v>119</v>
      </c>
      <c r="Q37" s="1"/>
      <c r="R37" s="1" t="s">
        <v>194</v>
      </c>
      <c r="S37" s="1"/>
      <c r="T37" s="1" t="s">
        <v>358</v>
      </c>
    </row>
    <row r="38" spans="1:20" ht="52" customHeight="1">
      <c r="A38" s="1" t="s">
        <v>215</v>
      </c>
      <c r="B38" s="1">
        <v>1</v>
      </c>
      <c r="C38" s="1" t="s">
        <v>107</v>
      </c>
      <c r="D38" s="1" t="s">
        <v>210</v>
      </c>
      <c r="E38" s="1" t="s">
        <v>107</v>
      </c>
      <c r="F38" s="1" t="s">
        <v>196</v>
      </c>
      <c r="G38" s="1" t="s">
        <v>359</v>
      </c>
      <c r="H38" s="1" t="s">
        <v>111</v>
      </c>
      <c r="I38" s="1" t="s">
        <v>360</v>
      </c>
      <c r="J38" s="1" t="s">
        <v>199</v>
      </c>
      <c r="K38" s="1" t="s">
        <v>200</v>
      </c>
      <c r="L38" s="1" t="s">
        <v>174</v>
      </c>
      <c r="M38" s="1"/>
      <c r="N38" s="1" t="s">
        <v>201</v>
      </c>
      <c r="O38" s="1" t="s">
        <v>361</v>
      </c>
      <c r="P38" s="1" t="s">
        <v>214</v>
      </c>
      <c r="Q38" s="1"/>
      <c r="R38" s="1" t="s">
        <v>194</v>
      </c>
      <c r="S38" s="1"/>
      <c r="T38" s="1" t="s">
        <v>347</v>
      </c>
    </row>
    <row r="39" spans="1:20" ht="52" customHeight="1">
      <c r="A39" s="1" t="s">
        <v>224</v>
      </c>
      <c r="B39" s="1">
        <v>1</v>
      </c>
      <c r="C39" s="1" t="s">
        <v>107</v>
      </c>
      <c r="D39" s="1" t="s">
        <v>218</v>
      </c>
      <c r="E39" s="1" t="s">
        <v>107</v>
      </c>
      <c r="F39" s="1" t="s">
        <v>196</v>
      </c>
      <c r="G39" s="1" t="s">
        <v>219</v>
      </c>
      <c r="H39" s="1" t="s">
        <v>111</v>
      </c>
      <c r="I39" s="1" t="s">
        <v>362</v>
      </c>
      <c r="J39" s="1" t="s">
        <v>199</v>
      </c>
      <c r="K39" s="1" t="s">
        <v>200</v>
      </c>
      <c r="L39" s="1" t="s">
        <v>115</v>
      </c>
      <c r="M39" s="1"/>
      <c r="N39" s="1" t="s">
        <v>201</v>
      </c>
      <c r="O39" s="1" t="s">
        <v>363</v>
      </c>
      <c r="P39" s="1" t="s">
        <v>223</v>
      </c>
      <c r="Q39" s="1"/>
      <c r="R39" s="1" t="s">
        <v>194</v>
      </c>
      <c r="S39" s="1"/>
      <c r="T39" s="1" t="s">
        <v>364</v>
      </c>
    </row>
    <row r="40" spans="1:20" ht="52" customHeight="1">
      <c r="A40" s="1" t="s">
        <v>365</v>
      </c>
      <c r="B40" s="1">
        <v>1</v>
      </c>
      <c r="C40" s="1" t="s">
        <v>107</v>
      </c>
      <c r="D40" s="1" t="s">
        <v>144</v>
      </c>
      <c r="E40" s="1" t="s">
        <v>107</v>
      </c>
      <c r="F40" s="1" t="s">
        <v>196</v>
      </c>
      <c r="G40" s="1" t="s">
        <v>302</v>
      </c>
      <c r="H40" s="1" t="s">
        <v>111</v>
      </c>
      <c r="I40" s="1" t="s">
        <v>366</v>
      </c>
      <c r="J40" s="1" t="s">
        <v>199</v>
      </c>
      <c r="K40" s="1" t="s">
        <v>200</v>
      </c>
      <c r="L40" s="1" t="s">
        <v>115</v>
      </c>
      <c r="M40" s="1" t="s">
        <v>116</v>
      </c>
      <c r="N40" s="1" t="s">
        <v>201</v>
      </c>
      <c r="O40" s="1" t="s">
        <v>367</v>
      </c>
      <c r="P40" s="1" t="s">
        <v>223</v>
      </c>
      <c r="Q40" s="1"/>
      <c r="R40" s="1" t="s">
        <v>301</v>
      </c>
      <c r="S40" s="1"/>
      <c r="T40" s="1" t="s">
        <v>368</v>
      </c>
    </row>
    <row r="41" spans="1:20" ht="52" customHeight="1">
      <c r="A41" s="1" t="s">
        <v>369</v>
      </c>
      <c r="B41" s="1">
        <v>1</v>
      </c>
      <c r="C41" s="1" t="s">
        <v>107</v>
      </c>
      <c r="D41" s="1" t="s">
        <v>154</v>
      </c>
      <c r="E41" s="1" t="s">
        <v>107</v>
      </c>
      <c r="F41" s="1" t="s">
        <v>155</v>
      </c>
      <c r="G41" s="1" t="s">
        <v>370</v>
      </c>
      <c r="H41" s="1" t="s">
        <v>157</v>
      </c>
      <c r="I41" s="1" t="s">
        <v>371</v>
      </c>
      <c r="J41" s="1" t="s">
        <v>199</v>
      </c>
      <c r="K41" s="1" t="s">
        <v>200</v>
      </c>
      <c r="L41" s="1" t="s">
        <v>115</v>
      </c>
      <c r="M41" s="1" t="s">
        <v>159</v>
      </c>
      <c r="N41" s="1" t="s">
        <v>201</v>
      </c>
      <c r="O41" s="1" t="s">
        <v>372</v>
      </c>
      <c r="P41" s="1" t="s">
        <v>161</v>
      </c>
      <c r="Q41" s="1"/>
      <c r="R41" s="1" t="s">
        <v>343</v>
      </c>
      <c r="S41" s="1"/>
      <c r="T41" s="1" t="s">
        <v>373</v>
      </c>
    </row>
    <row r="42" spans="1:20" ht="52" customHeight="1">
      <c r="A42" s="1" t="s">
        <v>374</v>
      </c>
      <c r="B42" s="1">
        <v>1</v>
      </c>
      <c r="C42" s="1" t="s">
        <v>107</v>
      </c>
      <c r="D42" s="1" t="s">
        <v>144</v>
      </c>
      <c r="E42" s="1" t="s">
        <v>107</v>
      </c>
      <c r="F42" s="1" t="s">
        <v>196</v>
      </c>
      <c r="G42" s="1" t="s">
        <v>375</v>
      </c>
      <c r="H42" s="1" t="s">
        <v>111</v>
      </c>
      <c r="I42" s="1" t="s">
        <v>376</v>
      </c>
      <c r="J42" s="1" t="s">
        <v>190</v>
      </c>
      <c r="K42" s="1" t="s">
        <v>191</v>
      </c>
      <c r="L42" s="1" t="s">
        <v>115</v>
      </c>
      <c r="M42" s="1"/>
      <c r="N42" s="1" t="s">
        <v>201</v>
      </c>
      <c r="O42" s="1" t="s">
        <v>377</v>
      </c>
      <c r="P42" s="1" t="s">
        <v>223</v>
      </c>
      <c r="Q42" s="1"/>
      <c r="R42" s="1" t="s">
        <v>378</v>
      </c>
      <c r="S42" s="1"/>
      <c r="T42" s="1" t="s">
        <v>379</v>
      </c>
    </row>
    <row r="43" spans="1:20" ht="52" customHeight="1">
      <c r="A43" s="1" t="s">
        <v>380</v>
      </c>
      <c r="B43" s="1">
        <v>1</v>
      </c>
      <c r="C43" s="1" t="s">
        <v>107</v>
      </c>
      <c r="D43" s="1" t="s">
        <v>144</v>
      </c>
      <c r="E43" s="1" t="s">
        <v>107</v>
      </c>
      <c r="F43" s="1" t="s">
        <v>155</v>
      </c>
      <c r="G43" s="1" t="s">
        <v>156</v>
      </c>
      <c r="H43" s="1" t="s">
        <v>172</v>
      </c>
      <c r="I43" s="1" t="s">
        <v>276</v>
      </c>
      <c r="J43" s="1" t="s">
        <v>146</v>
      </c>
      <c r="K43" s="1" t="s">
        <v>114</v>
      </c>
      <c r="L43" s="1" t="s">
        <v>115</v>
      </c>
      <c r="M43" s="1" t="s">
        <v>159</v>
      </c>
      <c r="N43" s="1" t="s">
        <v>117</v>
      </c>
      <c r="O43" s="1" t="s">
        <v>381</v>
      </c>
      <c r="P43" s="1" t="s">
        <v>149</v>
      </c>
      <c r="Q43" s="1" t="s">
        <v>176</v>
      </c>
      <c r="R43" s="1" t="s">
        <v>382</v>
      </c>
      <c r="S43" s="1"/>
      <c r="T43" s="1" t="s">
        <v>383</v>
      </c>
    </row>
    <row r="44" spans="1:20" ht="52" customHeight="1">
      <c r="A44" s="1" t="s">
        <v>384</v>
      </c>
      <c r="B44" s="1">
        <v>1</v>
      </c>
      <c r="C44" s="1" t="s">
        <v>107</v>
      </c>
      <c r="D44" s="1" t="s">
        <v>144</v>
      </c>
      <c r="E44" s="1" t="s">
        <v>107</v>
      </c>
      <c r="F44" s="1" t="s">
        <v>196</v>
      </c>
      <c r="G44" s="1" t="s">
        <v>385</v>
      </c>
      <c r="H44" s="1" t="s">
        <v>111</v>
      </c>
      <c r="I44" s="1" t="s">
        <v>386</v>
      </c>
      <c r="J44" s="1" t="s">
        <v>190</v>
      </c>
      <c r="K44" s="1" t="s">
        <v>191</v>
      </c>
      <c r="L44" s="1" t="s">
        <v>115</v>
      </c>
      <c r="M44" s="1"/>
      <c r="N44" s="1" t="s">
        <v>201</v>
      </c>
      <c r="O44" s="1" t="s">
        <v>387</v>
      </c>
      <c r="P44" s="1" t="s">
        <v>223</v>
      </c>
      <c r="Q44" s="1"/>
      <c r="R44" s="1" t="s">
        <v>388</v>
      </c>
      <c r="S44" s="1"/>
      <c r="T44" s="1" t="s">
        <v>389</v>
      </c>
    </row>
    <row r="45" spans="1:20" ht="52" customHeight="1">
      <c r="A45" s="1" t="s">
        <v>390</v>
      </c>
      <c r="B45" s="1">
        <v>1</v>
      </c>
      <c r="C45" s="1" t="s">
        <v>107</v>
      </c>
      <c r="D45" s="1" t="s">
        <v>290</v>
      </c>
      <c r="E45" s="1" t="s">
        <v>107</v>
      </c>
      <c r="F45" s="1" t="s">
        <v>258</v>
      </c>
      <c r="G45" s="1" t="s">
        <v>391</v>
      </c>
      <c r="H45" s="1" t="s">
        <v>157</v>
      </c>
      <c r="I45" s="1" t="s">
        <v>392</v>
      </c>
      <c r="J45" s="1" t="s">
        <v>199</v>
      </c>
      <c r="K45" s="1" t="s">
        <v>200</v>
      </c>
      <c r="L45" s="1" t="s">
        <v>115</v>
      </c>
      <c r="M45" s="1" t="s">
        <v>393</v>
      </c>
      <c r="N45" s="1" t="s">
        <v>201</v>
      </c>
      <c r="O45" s="1" t="s">
        <v>394</v>
      </c>
      <c r="P45" s="1" t="s">
        <v>131</v>
      </c>
      <c r="Q45" s="1"/>
      <c r="R45" s="1" t="s">
        <v>194</v>
      </c>
      <c r="S45" s="1"/>
      <c r="T45" s="1" t="s">
        <v>395</v>
      </c>
    </row>
    <row r="46" spans="1:20" ht="52" customHeight="1">
      <c r="A46" s="1" t="s">
        <v>396</v>
      </c>
      <c r="B46" s="1">
        <v>1</v>
      </c>
      <c r="C46" s="1" t="s">
        <v>107</v>
      </c>
      <c r="D46" s="1" t="s">
        <v>290</v>
      </c>
      <c r="E46" s="1" t="s">
        <v>107</v>
      </c>
      <c r="F46" s="1" t="s">
        <v>258</v>
      </c>
      <c r="G46" s="1" t="s">
        <v>397</v>
      </c>
      <c r="H46" s="1" t="s">
        <v>157</v>
      </c>
      <c r="I46" s="1" t="s">
        <v>398</v>
      </c>
      <c r="J46" s="1" t="s">
        <v>399</v>
      </c>
      <c r="K46" s="1" t="s">
        <v>221</v>
      </c>
      <c r="L46" s="1" t="s">
        <v>115</v>
      </c>
      <c r="M46" s="1" t="s">
        <v>393</v>
      </c>
      <c r="N46" s="1" t="s">
        <v>201</v>
      </c>
      <c r="O46" s="1" t="s">
        <v>400</v>
      </c>
      <c r="P46" s="1" t="s">
        <v>223</v>
      </c>
      <c r="Q46" s="1"/>
      <c r="R46" s="1" t="s">
        <v>390</v>
      </c>
      <c r="S46" s="1"/>
      <c r="T46" s="1" t="s">
        <v>401</v>
      </c>
    </row>
    <row r="47" spans="1:20" ht="52" customHeight="1">
      <c r="A47" s="1" t="s">
        <v>141</v>
      </c>
      <c r="B47" s="1">
        <v>1</v>
      </c>
      <c r="C47" s="1" t="s">
        <v>107</v>
      </c>
      <c r="D47" s="1" t="s">
        <v>135</v>
      </c>
      <c r="E47" s="1" t="s">
        <v>107</v>
      </c>
      <c r="F47" s="1" t="s">
        <v>196</v>
      </c>
      <c r="G47" s="1" t="s">
        <v>402</v>
      </c>
      <c r="H47" s="1" t="s">
        <v>111</v>
      </c>
      <c r="I47" s="1" t="s">
        <v>403</v>
      </c>
      <c r="J47" s="1" t="s">
        <v>199</v>
      </c>
      <c r="K47" s="1" t="s">
        <v>200</v>
      </c>
      <c r="L47" s="1" t="s">
        <v>174</v>
      </c>
      <c r="M47" s="1"/>
      <c r="N47" s="1" t="s">
        <v>201</v>
      </c>
      <c r="O47" s="1" t="s">
        <v>404</v>
      </c>
      <c r="P47" s="1" t="s">
        <v>139</v>
      </c>
      <c r="Q47" s="1"/>
      <c r="R47" s="1"/>
      <c r="S47" s="1"/>
      <c r="T47" s="1" t="s">
        <v>405</v>
      </c>
    </row>
    <row r="48" spans="1:20" ht="52" customHeight="1">
      <c r="A48" s="1" t="s">
        <v>406</v>
      </c>
      <c r="B48" s="1">
        <v>1</v>
      </c>
      <c r="C48" s="1" t="s">
        <v>407</v>
      </c>
      <c r="D48" s="1" t="s">
        <v>108</v>
      </c>
      <c r="E48" s="1" t="s">
        <v>407</v>
      </c>
      <c r="F48" s="1" t="s">
        <v>109</v>
      </c>
      <c r="G48" s="1" t="s">
        <v>408</v>
      </c>
      <c r="H48" s="1" t="s">
        <v>111</v>
      </c>
      <c r="I48" s="1" t="s">
        <v>112</v>
      </c>
      <c r="J48" s="1" t="s">
        <v>113</v>
      </c>
      <c r="K48" s="1" t="s">
        <v>114</v>
      </c>
      <c r="L48" s="1" t="s">
        <v>115</v>
      </c>
      <c r="M48" s="1" t="s">
        <v>409</v>
      </c>
      <c r="N48" s="1" t="s">
        <v>117</v>
      </c>
      <c r="O48" s="1" t="s">
        <v>410</v>
      </c>
      <c r="P48" s="1" t="s">
        <v>411</v>
      </c>
      <c r="Q48" s="1" t="s">
        <v>412</v>
      </c>
      <c r="R48" s="1" t="s">
        <v>413</v>
      </c>
      <c r="S48" s="1"/>
      <c r="T48" s="1" t="s">
        <v>414</v>
      </c>
    </row>
    <row r="49" spans="1:20" ht="52" customHeight="1">
      <c r="A49" s="1" t="s">
        <v>415</v>
      </c>
      <c r="B49" s="1">
        <v>1</v>
      </c>
      <c r="C49" s="1" t="s">
        <v>407</v>
      </c>
      <c r="D49" s="1" t="s">
        <v>124</v>
      </c>
      <c r="E49" s="1" t="s">
        <v>407</v>
      </c>
      <c r="F49" s="1" t="s">
        <v>125</v>
      </c>
      <c r="G49" s="1" t="s">
        <v>416</v>
      </c>
      <c r="H49" s="1" t="s">
        <v>157</v>
      </c>
      <c r="I49" s="1" t="s">
        <v>127</v>
      </c>
      <c r="J49" s="1" t="s">
        <v>128</v>
      </c>
      <c r="K49" s="1" t="s">
        <v>114</v>
      </c>
      <c r="L49" s="1" t="s">
        <v>115</v>
      </c>
      <c r="M49" s="1" t="s">
        <v>417</v>
      </c>
      <c r="N49" s="1" t="s">
        <v>117</v>
      </c>
      <c r="O49" s="1" t="s">
        <v>418</v>
      </c>
      <c r="P49" s="1" t="s">
        <v>131</v>
      </c>
      <c r="Q49" s="1" t="s">
        <v>419</v>
      </c>
      <c r="R49" s="1"/>
      <c r="S49" s="1"/>
      <c r="T49" s="1" t="s">
        <v>420</v>
      </c>
    </row>
    <row r="50" spans="1:20" ht="52" customHeight="1">
      <c r="A50" s="1" t="s">
        <v>421</v>
      </c>
      <c r="B50" s="1">
        <v>1</v>
      </c>
      <c r="C50" s="1" t="s">
        <v>407</v>
      </c>
      <c r="D50" s="1" t="s">
        <v>135</v>
      </c>
      <c r="E50" s="1" t="s">
        <v>407</v>
      </c>
      <c r="F50" s="1" t="s">
        <v>125</v>
      </c>
      <c r="G50" s="1" t="s">
        <v>416</v>
      </c>
      <c r="H50" s="1" t="s">
        <v>157</v>
      </c>
      <c r="I50" s="1" t="s">
        <v>422</v>
      </c>
      <c r="J50" s="1" t="s">
        <v>137</v>
      </c>
      <c r="K50" s="1" t="s">
        <v>114</v>
      </c>
      <c r="L50" s="1" t="s">
        <v>115</v>
      </c>
      <c r="M50" s="1" t="s">
        <v>417</v>
      </c>
      <c r="N50" s="1" t="s">
        <v>117</v>
      </c>
      <c r="O50" s="1" t="s">
        <v>423</v>
      </c>
      <c r="P50" s="1" t="s">
        <v>139</v>
      </c>
      <c r="Q50" s="1" t="s">
        <v>424</v>
      </c>
      <c r="R50" s="1" t="s">
        <v>425</v>
      </c>
      <c r="S50" s="1"/>
      <c r="T50" s="1" t="s">
        <v>426</v>
      </c>
    </row>
    <row r="51" spans="1:20" ht="52" customHeight="1">
      <c r="A51" s="1" t="s">
        <v>427</v>
      </c>
      <c r="B51" s="1">
        <v>1</v>
      </c>
      <c r="C51" s="1" t="s">
        <v>407</v>
      </c>
      <c r="D51" s="1" t="s">
        <v>428</v>
      </c>
      <c r="E51" s="1" t="s">
        <v>407</v>
      </c>
      <c r="F51" s="1" t="s">
        <v>125</v>
      </c>
      <c r="G51" s="1" t="s">
        <v>416</v>
      </c>
      <c r="H51" s="1" t="s">
        <v>157</v>
      </c>
      <c r="I51" s="1" t="s">
        <v>265</v>
      </c>
      <c r="J51" s="1" t="s">
        <v>146</v>
      </c>
      <c r="K51" s="1" t="s">
        <v>114</v>
      </c>
      <c r="L51" s="1" t="s">
        <v>115</v>
      </c>
      <c r="M51" s="1" t="s">
        <v>429</v>
      </c>
      <c r="N51" s="1" t="s">
        <v>117</v>
      </c>
      <c r="O51" s="1" t="s">
        <v>430</v>
      </c>
      <c r="P51" s="1" t="s">
        <v>149</v>
      </c>
      <c r="Q51" s="1" t="s">
        <v>431</v>
      </c>
      <c r="R51" s="1" t="s">
        <v>432</v>
      </c>
      <c r="S51" s="1"/>
      <c r="T51" s="1" t="s">
        <v>433</v>
      </c>
    </row>
    <row r="52" spans="1:20" ht="52" customHeight="1">
      <c r="A52" s="1" t="s">
        <v>434</v>
      </c>
      <c r="B52" s="1">
        <v>1</v>
      </c>
      <c r="C52" s="1" t="s">
        <v>407</v>
      </c>
      <c r="D52" s="1" t="s">
        <v>435</v>
      </c>
      <c r="E52" s="1" t="s">
        <v>407</v>
      </c>
      <c r="F52" s="1" t="s">
        <v>436</v>
      </c>
      <c r="G52" s="1" t="s">
        <v>437</v>
      </c>
      <c r="H52" s="1" t="s">
        <v>172</v>
      </c>
      <c r="I52" s="1" t="s">
        <v>438</v>
      </c>
      <c r="J52" s="1" t="s">
        <v>113</v>
      </c>
      <c r="K52" s="1" t="s">
        <v>114</v>
      </c>
      <c r="L52" s="1" t="s">
        <v>115</v>
      </c>
      <c r="M52" s="1" t="s">
        <v>439</v>
      </c>
      <c r="N52" s="1" t="s">
        <v>117</v>
      </c>
      <c r="O52" s="1" t="s">
        <v>440</v>
      </c>
      <c r="P52" s="1" t="s">
        <v>441</v>
      </c>
      <c r="Q52" s="1" t="s">
        <v>442</v>
      </c>
      <c r="R52" s="1" t="s">
        <v>443</v>
      </c>
      <c r="S52" s="1"/>
      <c r="T52" s="1" t="s">
        <v>444</v>
      </c>
    </row>
    <row r="53" spans="1:20" ht="52" customHeight="1">
      <c r="A53" s="1" t="s">
        <v>445</v>
      </c>
      <c r="B53" s="1">
        <v>1</v>
      </c>
      <c r="C53" s="1" t="s">
        <v>407</v>
      </c>
      <c r="D53" s="1" t="s">
        <v>135</v>
      </c>
      <c r="E53" s="1" t="s">
        <v>407</v>
      </c>
      <c r="F53" s="1" t="s">
        <v>436</v>
      </c>
      <c r="G53" s="1" t="s">
        <v>437</v>
      </c>
      <c r="H53" s="1" t="s">
        <v>172</v>
      </c>
      <c r="I53" s="1" t="s">
        <v>446</v>
      </c>
      <c r="J53" s="1" t="s">
        <v>137</v>
      </c>
      <c r="K53" s="1" t="s">
        <v>114</v>
      </c>
      <c r="L53" s="1" t="s">
        <v>115</v>
      </c>
      <c r="M53" s="1" t="s">
        <v>439</v>
      </c>
      <c r="N53" s="1" t="s">
        <v>117</v>
      </c>
      <c r="O53" s="1" t="s">
        <v>447</v>
      </c>
      <c r="P53" s="1" t="s">
        <v>139</v>
      </c>
      <c r="Q53" s="1" t="s">
        <v>448</v>
      </c>
      <c r="R53" s="1" t="s">
        <v>425</v>
      </c>
      <c r="S53" s="1"/>
      <c r="T53" s="1" t="s">
        <v>449</v>
      </c>
    </row>
    <row r="54" spans="1:20" ht="52" customHeight="1">
      <c r="A54" s="1" t="s">
        <v>450</v>
      </c>
      <c r="B54" s="1">
        <v>1</v>
      </c>
      <c r="C54" s="1" t="s">
        <v>407</v>
      </c>
      <c r="D54" s="1" t="s">
        <v>428</v>
      </c>
      <c r="E54" s="1" t="s">
        <v>407</v>
      </c>
      <c r="F54" s="1" t="s">
        <v>436</v>
      </c>
      <c r="G54" s="1" t="s">
        <v>437</v>
      </c>
      <c r="H54" s="1" t="s">
        <v>172</v>
      </c>
      <c r="I54" s="1" t="s">
        <v>276</v>
      </c>
      <c r="J54" s="1" t="s">
        <v>146</v>
      </c>
      <c r="K54" s="1" t="s">
        <v>114</v>
      </c>
      <c r="L54" s="1" t="s">
        <v>115</v>
      </c>
      <c r="M54" s="1" t="s">
        <v>439</v>
      </c>
      <c r="N54" s="1" t="s">
        <v>117</v>
      </c>
      <c r="O54" s="1" t="s">
        <v>451</v>
      </c>
      <c r="P54" s="1" t="s">
        <v>149</v>
      </c>
      <c r="Q54" s="1" t="s">
        <v>452</v>
      </c>
      <c r="R54" s="1" t="s">
        <v>453</v>
      </c>
      <c r="S54" s="1"/>
      <c r="T54" s="1" t="s">
        <v>454</v>
      </c>
    </row>
    <row r="55" spans="1:20" ht="52" customHeight="1">
      <c r="A55" s="1" t="s">
        <v>455</v>
      </c>
      <c r="B55" s="1">
        <v>1</v>
      </c>
      <c r="C55" s="1" t="s">
        <v>407</v>
      </c>
      <c r="D55" s="1" t="s">
        <v>135</v>
      </c>
      <c r="E55" s="1" t="s">
        <v>407</v>
      </c>
      <c r="F55" s="1" t="s">
        <v>456</v>
      </c>
      <c r="G55" s="1" t="s">
        <v>457</v>
      </c>
      <c r="H55" s="1" t="s">
        <v>172</v>
      </c>
      <c r="I55" s="1" t="s">
        <v>458</v>
      </c>
      <c r="J55" s="1" t="s">
        <v>137</v>
      </c>
      <c r="K55" s="1" t="s">
        <v>114</v>
      </c>
      <c r="L55" s="1" t="s">
        <v>115</v>
      </c>
      <c r="M55" s="1" t="s">
        <v>459</v>
      </c>
      <c r="N55" s="1" t="s">
        <v>117</v>
      </c>
      <c r="O55" s="1" t="s">
        <v>460</v>
      </c>
      <c r="P55" s="1" t="s">
        <v>139</v>
      </c>
      <c r="Q55" s="1" t="s">
        <v>448</v>
      </c>
      <c r="R55" s="1" t="s">
        <v>425</v>
      </c>
      <c r="S55" s="1"/>
      <c r="T55" s="1" t="s">
        <v>461</v>
      </c>
    </row>
    <row r="56" spans="1:20" ht="52" customHeight="1">
      <c r="A56" s="1" t="s">
        <v>462</v>
      </c>
      <c r="B56" s="1">
        <v>1</v>
      </c>
      <c r="C56" s="1" t="s">
        <v>407</v>
      </c>
      <c r="D56" s="1" t="s">
        <v>428</v>
      </c>
      <c r="E56" s="1" t="s">
        <v>407</v>
      </c>
      <c r="F56" s="1" t="s">
        <v>456</v>
      </c>
      <c r="G56" s="1" t="s">
        <v>457</v>
      </c>
      <c r="H56" s="1" t="s">
        <v>172</v>
      </c>
      <c r="I56" s="1" t="s">
        <v>276</v>
      </c>
      <c r="J56" s="1" t="s">
        <v>146</v>
      </c>
      <c r="K56" s="1" t="s">
        <v>114</v>
      </c>
      <c r="L56" s="1" t="s">
        <v>115</v>
      </c>
      <c r="M56" s="1" t="s">
        <v>459</v>
      </c>
      <c r="N56" s="1" t="s">
        <v>117</v>
      </c>
      <c r="O56" s="1" t="s">
        <v>463</v>
      </c>
      <c r="P56" s="1" t="s">
        <v>149</v>
      </c>
      <c r="Q56" s="1" t="s">
        <v>452</v>
      </c>
      <c r="R56" s="1" t="s">
        <v>464</v>
      </c>
      <c r="S56" s="1"/>
      <c r="T56" s="1" t="s">
        <v>465</v>
      </c>
    </row>
    <row r="57" spans="1:20" ht="52" customHeight="1">
      <c r="A57" s="1" t="s">
        <v>466</v>
      </c>
      <c r="B57" s="1">
        <v>1</v>
      </c>
      <c r="C57" s="1" t="s">
        <v>407</v>
      </c>
      <c r="D57" s="1" t="s">
        <v>467</v>
      </c>
      <c r="E57" s="1" t="s">
        <v>407</v>
      </c>
      <c r="F57" s="1" t="s">
        <v>196</v>
      </c>
      <c r="G57" s="1" t="s">
        <v>468</v>
      </c>
      <c r="H57" s="1" t="s">
        <v>111</v>
      </c>
      <c r="I57" s="1" t="s">
        <v>469</v>
      </c>
      <c r="J57" s="1" t="s">
        <v>199</v>
      </c>
      <c r="K57" s="1" t="s">
        <v>200</v>
      </c>
      <c r="L57" s="1" t="s">
        <v>115</v>
      </c>
      <c r="M57" s="1"/>
      <c r="N57" s="1" t="s">
        <v>201</v>
      </c>
      <c r="O57" s="1" t="s">
        <v>470</v>
      </c>
      <c r="P57" s="1" t="s">
        <v>471</v>
      </c>
      <c r="Q57" s="1"/>
      <c r="R57" s="1"/>
      <c r="S57" s="1"/>
      <c r="T57" s="1" t="s">
        <v>204</v>
      </c>
    </row>
    <row r="58" spans="1:20" ht="52" customHeight="1">
      <c r="A58" s="1" t="s">
        <v>413</v>
      </c>
      <c r="B58" s="1">
        <v>1</v>
      </c>
      <c r="C58" s="1" t="s">
        <v>407</v>
      </c>
      <c r="D58" s="1" t="s">
        <v>472</v>
      </c>
      <c r="E58" s="1" t="s">
        <v>407</v>
      </c>
      <c r="F58" s="1" t="s">
        <v>196</v>
      </c>
      <c r="G58" s="1" t="s">
        <v>473</v>
      </c>
      <c r="H58" s="1" t="s">
        <v>111</v>
      </c>
      <c r="I58" s="1" t="s">
        <v>474</v>
      </c>
      <c r="J58" s="1" t="s">
        <v>183</v>
      </c>
      <c r="K58" s="1" t="s">
        <v>114</v>
      </c>
      <c r="L58" s="1" t="s">
        <v>115</v>
      </c>
      <c r="M58" s="1"/>
      <c r="N58" s="1" t="s">
        <v>201</v>
      </c>
      <c r="O58" s="1" t="s">
        <v>475</v>
      </c>
      <c r="P58" s="1" t="s">
        <v>411</v>
      </c>
      <c r="Q58" s="1"/>
      <c r="R58" s="1" t="s">
        <v>476</v>
      </c>
      <c r="S58" s="1"/>
      <c r="T58" s="1" t="s">
        <v>477</v>
      </c>
    </row>
    <row r="59" spans="1:20" ht="52" customHeight="1">
      <c r="A59" s="1" t="s">
        <v>478</v>
      </c>
      <c r="B59" s="1">
        <v>1</v>
      </c>
      <c r="C59" s="1" t="s">
        <v>407</v>
      </c>
      <c r="D59" s="1" t="s">
        <v>435</v>
      </c>
      <c r="E59" s="1" t="s">
        <v>407</v>
      </c>
      <c r="F59" s="1" t="s">
        <v>196</v>
      </c>
      <c r="G59" s="1" t="s">
        <v>479</v>
      </c>
      <c r="H59" s="1" t="s">
        <v>172</v>
      </c>
      <c r="I59" s="1" t="s">
        <v>480</v>
      </c>
      <c r="J59" s="1" t="s">
        <v>183</v>
      </c>
      <c r="K59" s="1" t="s">
        <v>114</v>
      </c>
      <c r="L59" s="1" t="s">
        <v>115</v>
      </c>
      <c r="M59" s="1"/>
      <c r="N59" s="1" t="s">
        <v>201</v>
      </c>
      <c r="O59" s="1" t="s">
        <v>481</v>
      </c>
      <c r="P59" s="1" t="s">
        <v>441</v>
      </c>
      <c r="Q59" s="1"/>
      <c r="R59" s="1" t="s">
        <v>482</v>
      </c>
      <c r="S59" s="1"/>
      <c r="T59" s="1" t="s">
        <v>483</v>
      </c>
    </row>
    <row r="60" spans="1:20" ht="52" customHeight="1">
      <c r="A60" s="1" t="s">
        <v>484</v>
      </c>
      <c r="B60" s="1">
        <v>1</v>
      </c>
      <c r="C60" s="1" t="s">
        <v>407</v>
      </c>
      <c r="D60" s="1" t="s">
        <v>218</v>
      </c>
      <c r="E60" s="1" t="s">
        <v>407</v>
      </c>
      <c r="F60" s="1" t="s">
        <v>196</v>
      </c>
      <c r="G60" s="1" t="s">
        <v>485</v>
      </c>
      <c r="H60" s="1" t="s">
        <v>111</v>
      </c>
      <c r="I60" s="1" t="s">
        <v>486</v>
      </c>
      <c r="J60" s="1" t="s">
        <v>183</v>
      </c>
      <c r="K60" s="1" t="s">
        <v>221</v>
      </c>
      <c r="L60" s="1" t="s">
        <v>174</v>
      </c>
      <c r="M60" s="1"/>
      <c r="N60" s="1" t="s">
        <v>201</v>
      </c>
      <c r="O60" s="1" t="s">
        <v>487</v>
      </c>
      <c r="P60" s="1" t="s">
        <v>223</v>
      </c>
      <c r="Q60" s="1"/>
      <c r="R60" s="1" t="s">
        <v>488</v>
      </c>
      <c r="S60" s="1"/>
      <c r="T60" s="1" t="s">
        <v>489</v>
      </c>
    </row>
    <row r="61" spans="1:20" ht="52" customHeight="1">
      <c r="A61" s="1" t="s">
        <v>490</v>
      </c>
      <c r="B61" s="1">
        <v>1</v>
      </c>
      <c r="C61" s="1" t="s">
        <v>407</v>
      </c>
      <c r="D61" s="1" t="s">
        <v>218</v>
      </c>
      <c r="E61" s="1" t="s">
        <v>407</v>
      </c>
      <c r="F61" s="1" t="s">
        <v>196</v>
      </c>
      <c r="G61" s="1" t="s">
        <v>491</v>
      </c>
      <c r="H61" s="1" t="s">
        <v>111</v>
      </c>
      <c r="I61" s="1" t="s">
        <v>492</v>
      </c>
      <c r="J61" s="1" t="s">
        <v>183</v>
      </c>
      <c r="K61" s="1" t="s">
        <v>114</v>
      </c>
      <c r="L61" s="1" t="s">
        <v>115</v>
      </c>
      <c r="M61" s="1"/>
      <c r="N61" s="1" t="s">
        <v>201</v>
      </c>
      <c r="O61" s="1" t="s">
        <v>493</v>
      </c>
      <c r="P61" s="1" t="s">
        <v>223</v>
      </c>
      <c r="Q61" s="1"/>
      <c r="R61" s="1" t="s">
        <v>488</v>
      </c>
      <c r="S61" s="1"/>
      <c r="T61" s="1" t="s">
        <v>494</v>
      </c>
    </row>
    <row r="62" spans="1:20" ht="52" customHeight="1">
      <c r="A62" s="1" t="s">
        <v>495</v>
      </c>
      <c r="B62" s="1">
        <v>1</v>
      </c>
      <c r="C62" s="1" t="s">
        <v>407</v>
      </c>
      <c r="D62" s="1" t="s">
        <v>428</v>
      </c>
      <c r="E62" s="1" t="s">
        <v>407</v>
      </c>
      <c r="F62" s="1" t="s">
        <v>180</v>
      </c>
      <c r="G62" s="1" t="s">
        <v>496</v>
      </c>
      <c r="H62" s="1" t="s">
        <v>111</v>
      </c>
      <c r="I62" s="1" t="s">
        <v>497</v>
      </c>
      <c r="J62" s="1" t="s">
        <v>183</v>
      </c>
      <c r="K62" s="1" t="s">
        <v>114</v>
      </c>
      <c r="L62" s="1" t="s">
        <v>115</v>
      </c>
      <c r="M62" s="1" t="s">
        <v>184</v>
      </c>
      <c r="N62" s="1" t="s">
        <v>117</v>
      </c>
      <c r="O62" s="1" t="s">
        <v>498</v>
      </c>
      <c r="P62" s="1" t="s">
        <v>411</v>
      </c>
      <c r="Q62" s="1" t="s">
        <v>499</v>
      </c>
      <c r="R62" s="1" t="s">
        <v>413</v>
      </c>
      <c r="S62" s="1"/>
      <c r="T62" s="1" t="s">
        <v>500</v>
      </c>
    </row>
    <row r="63" spans="1:20" ht="52" customHeight="1">
      <c r="A63" s="1" t="s">
        <v>501</v>
      </c>
      <c r="B63" s="1">
        <v>1</v>
      </c>
      <c r="C63" s="1" t="s">
        <v>407</v>
      </c>
      <c r="D63" s="1" t="s">
        <v>428</v>
      </c>
      <c r="E63" s="1" t="s">
        <v>407</v>
      </c>
      <c r="F63" s="1" t="s">
        <v>180</v>
      </c>
      <c r="G63" s="1" t="s">
        <v>496</v>
      </c>
      <c r="H63" s="1" t="s">
        <v>111</v>
      </c>
      <c r="I63" s="1" t="s">
        <v>189</v>
      </c>
      <c r="J63" s="1" t="s">
        <v>190</v>
      </c>
      <c r="K63" s="1" t="s">
        <v>191</v>
      </c>
      <c r="L63" s="1" t="s">
        <v>115</v>
      </c>
      <c r="M63" s="1" t="s">
        <v>184</v>
      </c>
      <c r="N63" s="1" t="s">
        <v>117</v>
      </c>
      <c r="O63" s="1" t="s">
        <v>502</v>
      </c>
      <c r="P63" s="1" t="s">
        <v>149</v>
      </c>
      <c r="Q63" s="1" t="s">
        <v>499</v>
      </c>
      <c r="R63" s="1" t="s">
        <v>495</v>
      </c>
      <c r="S63" s="1"/>
      <c r="T63" s="1" t="s">
        <v>503</v>
      </c>
    </row>
    <row r="64" spans="1:20" ht="52" customHeight="1">
      <c r="A64" s="1" t="s">
        <v>504</v>
      </c>
      <c r="B64" s="1">
        <v>1</v>
      </c>
      <c r="C64" s="1" t="s">
        <v>407</v>
      </c>
      <c r="D64" s="1" t="s">
        <v>135</v>
      </c>
      <c r="E64" s="1" t="s">
        <v>407</v>
      </c>
      <c r="F64" s="1" t="s">
        <v>232</v>
      </c>
      <c r="G64" s="1" t="s">
        <v>505</v>
      </c>
      <c r="H64" s="1" t="s">
        <v>157</v>
      </c>
      <c r="I64" s="1" t="s">
        <v>422</v>
      </c>
      <c r="J64" s="1" t="s">
        <v>137</v>
      </c>
      <c r="K64" s="1" t="s">
        <v>114</v>
      </c>
      <c r="L64" s="1" t="s">
        <v>115</v>
      </c>
      <c r="M64" s="1" t="s">
        <v>506</v>
      </c>
      <c r="N64" s="1" t="s">
        <v>117</v>
      </c>
      <c r="O64" s="1" t="s">
        <v>507</v>
      </c>
      <c r="P64" s="1" t="s">
        <v>139</v>
      </c>
      <c r="Q64" s="1" t="s">
        <v>424</v>
      </c>
      <c r="R64" s="1" t="s">
        <v>425</v>
      </c>
      <c r="S64" s="1"/>
      <c r="T64" s="1" t="s">
        <v>508</v>
      </c>
    </row>
    <row r="65" spans="1:20" ht="52" customHeight="1">
      <c r="A65" s="1" t="s">
        <v>509</v>
      </c>
      <c r="B65" s="1">
        <v>1</v>
      </c>
      <c r="C65" s="1" t="s">
        <v>407</v>
      </c>
      <c r="D65" s="1" t="s">
        <v>428</v>
      </c>
      <c r="E65" s="1" t="s">
        <v>407</v>
      </c>
      <c r="F65" s="1" t="s">
        <v>232</v>
      </c>
      <c r="G65" s="1" t="s">
        <v>505</v>
      </c>
      <c r="H65" s="1" t="s">
        <v>157</v>
      </c>
      <c r="I65" s="1" t="s">
        <v>265</v>
      </c>
      <c r="J65" s="1" t="s">
        <v>146</v>
      </c>
      <c r="K65" s="1" t="s">
        <v>114</v>
      </c>
      <c r="L65" s="1" t="s">
        <v>115</v>
      </c>
      <c r="M65" s="1" t="s">
        <v>510</v>
      </c>
      <c r="N65" s="1" t="s">
        <v>117</v>
      </c>
      <c r="O65" s="1" t="s">
        <v>511</v>
      </c>
      <c r="P65" s="1" t="s">
        <v>149</v>
      </c>
      <c r="Q65" s="1" t="s">
        <v>512</v>
      </c>
      <c r="R65" s="1" t="s">
        <v>513</v>
      </c>
      <c r="S65" s="1"/>
      <c r="T65" s="1" t="s">
        <v>514</v>
      </c>
    </row>
    <row r="66" spans="1:20" ht="52" customHeight="1">
      <c r="A66" s="1" t="s">
        <v>515</v>
      </c>
      <c r="B66" s="1">
        <v>1</v>
      </c>
      <c r="C66" s="1" t="s">
        <v>407</v>
      </c>
      <c r="D66" s="1" t="s">
        <v>124</v>
      </c>
      <c r="E66" s="1" t="s">
        <v>407</v>
      </c>
      <c r="F66" s="1" t="s">
        <v>258</v>
      </c>
      <c r="G66" s="1" t="s">
        <v>516</v>
      </c>
      <c r="H66" s="1" t="s">
        <v>157</v>
      </c>
      <c r="I66" s="1" t="s">
        <v>260</v>
      </c>
      <c r="J66" s="1" t="s">
        <v>128</v>
      </c>
      <c r="K66" s="1" t="s">
        <v>114</v>
      </c>
      <c r="L66" s="1" t="s">
        <v>115</v>
      </c>
      <c r="M66" s="1" t="s">
        <v>517</v>
      </c>
      <c r="N66" s="1" t="s">
        <v>117</v>
      </c>
      <c r="O66" s="1" t="s">
        <v>518</v>
      </c>
      <c r="P66" s="1" t="s">
        <v>131</v>
      </c>
      <c r="Q66" s="1" t="s">
        <v>519</v>
      </c>
      <c r="R66" s="1"/>
      <c r="S66" s="1"/>
      <c r="T66" s="1" t="s">
        <v>520</v>
      </c>
    </row>
    <row r="67" spans="1:20" ht="52" customHeight="1">
      <c r="A67" s="1" t="s">
        <v>521</v>
      </c>
      <c r="B67" s="1">
        <v>1</v>
      </c>
      <c r="C67" s="1" t="s">
        <v>407</v>
      </c>
      <c r="D67" s="1" t="s">
        <v>428</v>
      </c>
      <c r="E67" s="1" t="s">
        <v>407</v>
      </c>
      <c r="F67" s="1" t="s">
        <v>258</v>
      </c>
      <c r="G67" s="1" t="s">
        <v>516</v>
      </c>
      <c r="H67" s="1" t="s">
        <v>157</v>
      </c>
      <c r="I67" s="1" t="s">
        <v>265</v>
      </c>
      <c r="J67" s="1" t="s">
        <v>146</v>
      </c>
      <c r="K67" s="1" t="s">
        <v>114</v>
      </c>
      <c r="L67" s="1" t="s">
        <v>115</v>
      </c>
      <c r="M67" s="1" t="s">
        <v>522</v>
      </c>
      <c r="N67" s="1" t="s">
        <v>117</v>
      </c>
      <c r="O67" s="1" t="s">
        <v>523</v>
      </c>
      <c r="P67" s="1" t="s">
        <v>149</v>
      </c>
      <c r="Q67" s="1" t="s">
        <v>524</v>
      </c>
      <c r="R67" s="1" t="s">
        <v>525</v>
      </c>
      <c r="S67" s="1"/>
      <c r="T67" s="1" t="s">
        <v>526</v>
      </c>
    </row>
    <row r="68" spans="1:20" ht="52" customHeight="1">
      <c r="A68" s="1" t="s">
        <v>527</v>
      </c>
      <c r="B68" s="1">
        <v>1</v>
      </c>
      <c r="C68" s="1" t="s">
        <v>407</v>
      </c>
      <c r="D68" s="1" t="s">
        <v>124</v>
      </c>
      <c r="E68" s="1" t="s">
        <v>407</v>
      </c>
      <c r="F68" s="1" t="s">
        <v>245</v>
      </c>
      <c r="G68" s="1" t="s">
        <v>528</v>
      </c>
      <c r="H68" s="1" t="s">
        <v>111</v>
      </c>
      <c r="I68" s="1" t="s">
        <v>529</v>
      </c>
      <c r="J68" s="1" t="s">
        <v>128</v>
      </c>
      <c r="K68" s="1" t="s">
        <v>114</v>
      </c>
      <c r="L68" s="1" t="s">
        <v>115</v>
      </c>
      <c r="M68" s="1" t="s">
        <v>248</v>
      </c>
      <c r="N68" s="1" t="s">
        <v>117</v>
      </c>
      <c r="O68" s="1" t="s">
        <v>530</v>
      </c>
      <c r="P68" s="1" t="s">
        <v>471</v>
      </c>
      <c r="Q68" s="1" t="s">
        <v>531</v>
      </c>
      <c r="R68" s="1"/>
      <c r="S68" s="1"/>
      <c r="T68" s="1" t="s">
        <v>532</v>
      </c>
    </row>
    <row r="69" spans="1:20" ht="52" customHeight="1">
      <c r="A69" s="1" t="s">
        <v>533</v>
      </c>
      <c r="B69" s="1">
        <v>1</v>
      </c>
      <c r="C69" s="1" t="s">
        <v>407</v>
      </c>
      <c r="D69" s="1" t="s">
        <v>435</v>
      </c>
      <c r="E69" s="1" t="s">
        <v>407</v>
      </c>
      <c r="F69" s="1" t="s">
        <v>245</v>
      </c>
      <c r="G69" s="1" t="s">
        <v>528</v>
      </c>
      <c r="H69" s="1" t="s">
        <v>111</v>
      </c>
      <c r="I69" s="1" t="s">
        <v>534</v>
      </c>
      <c r="J69" s="1" t="s">
        <v>190</v>
      </c>
      <c r="K69" s="1" t="s">
        <v>191</v>
      </c>
      <c r="L69" s="1" t="s">
        <v>115</v>
      </c>
      <c r="M69" s="1" t="s">
        <v>248</v>
      </c>
      <c r="N69" s="1" t="s">
        <v>117</v>
      </c>
      <c r="O69" s="1" t="s">
        <v>535</v>
      </c>
      <c r="P69" s="1" t="s">
        <v>149</v>
      </c>
      <c r="Q69" s="1" t="s">
        <v>531</v>
      </c>
      <c r="R69" s="1" t="s">
        <v>536</v>
      </c>
      <c r="S69" s="1"/>
      <c r="T69" s="1" t="s">
        <v>537</v>
      </c>
    </row>
    <row r="70" spans="1:20" ht="52" customHeight="1">
      <c r="A70" s="1" t="s">
        <v>538</v>
      </c>
      <c r="B70" s="1">
        <v>1</v>
      </c>
      <c r="C70" s="1" t="s">
        <v>407</v>
      </c>
      <c r="D70" s="1" t="s">
        <v>435</v>
      </c>
      <c r="E70" s="1" t="s">
        <v>407</v>
      </c>
      <c r="F70" s="1" t="s">
        <v>245</v>
      </c>
      <c r="G70" s="1" t="s">
        <v>539</v>
      </c>
      <c r="H70" s="1" t="s">
        <v>111</v>
      </c>
      <c r="I70" s="1" t="s">
        <v>540</v>
      </c>
      <c r="J70" s="1" t="s">
        <v>113</v>
      </c>
      <c r="K70" s="1" t="s">
        <v>114</v>
      </c>
      <c r="L70" s="1" t="s">
        <v>115</v>
      </c>
      <c r="M70" s="1" t="s">
        <v>248</v>
      </c>
      <c r="N70" s="1" t="s">
        <v>117</v>
      </c>
      <c r="O70" s="1" t="s">
        <v>541</v>
      </c>
      <c r="P70" s="1" t="s">
        <v>441</v>
      </c>
      <c r="Q70" s="1" t="s">
        <v>542</v>
      </c>
      <c r="R70" s="1" t="s">
        <v>543</v>
      </c>
      <c r="S70" s="1"/>
      <c r="T70" s="1" t="s">
        <v>544</v>
      </c>
    </row>
    <row r="71" spans="1:20" ht="52" customHeight="1">
      <c r="A71" s="1" t="s">
        <v>545</v>
      </c>
      <c r="B71" s="1">
        <v>1</v>
      </c>
      <c r="C71" s="1" t="s">
        <v>407</v>
      </c>
      <c r="D71" s="1" t="s">
        <v>428</v>
      </c>
      <c r="E71" s="1" t="s">
        <v>407</v>
      </c>
      <c r="F71" s="1" t="s">
        <v>245</v>
      </c>
      <c r="G71" s="1" t="s">
        <v>539</v>
      </c>
      <c r="H71" s="1" t="s">
        <v>111</v>
      </c>
      <c r="I71" s="1" t="s">
        <v>254</v>
      </c>
      <c r="J71" s="1" t="s">
        <v>190</v>
      </c>
      <c r="K71" s="1" t="s">
        <v>191</v>
      </c>
      <c r="L71" s="1" t="s">
        <v>115</v>
      </c>
      <c r="M71" s="1" t="s">
        <v>248</v>
      </c>
      <c r="N71" s="1" t="s">
        <v>117</v>
      </c>
      <c r="O71" s="1" t="s">
        <v>546</v>
      </c>
      <c r="P71" s="1" t="s">
        <v>149</v>
      </c>
      <c r="Q71" s="1" t="s">
        <v>542</v>
      </c>
      <c r="R71" s="1" t="s">
        <v>538</v>
      </c>
      <c r="S71" s="1"/>
      <c r="T71" s="1" t="s">
        <v>547</v>
      </c>
    </row>
    <row r="72" spans="1:20" ht="52" customHeight="1">
      <c r="A72" s="1" t="s">
        <v>548</v>
      </c>
      <c r="B72" s="1">
        <v>1</v>
      </c>
      <c r="C72" s="1" t="s">
        <v>407</v>
      </c>
      <c r="D72" s="1" t="s">
        <v>435</v>
      </c>
      <c r="E72" s="1" t="s">
        <v>407</v>
      </c>
      <c r="F72" s="1" t="s">
        <v>436</v>
      </c>
      <c r="G72" s="1" t="s">
        <v>549</v>
      </c>
      <c r="H72" s="1" t="s">
        <v>111</v>
      </c>
      <c r="I72" s="1" t="s">
        <v>550</v>
      </c>
      <c r="J72" s="1" t="s">
        <v>113</v>
      </c>
      <c r="K72" s="1" t="s">
        <v>114</v>
      </c>
      <c r="L72" s="1" t="s">
        <v>174</v>
      </c>
      <c r="M72" s="1" t="s">
        <v>551</v>
      </c>
      <c r="N72" s="1" t="s">
        <v>117</v>
      </c>
      <c r="O72" s="1" t="s">
        <v>552</v>
      </c>
      <c r="P72" s="1" t="s">
        <v>441</v>
      </c>
      <c r="Q72" s="1" t="s">
        <v>542</v>
      </c>
      <c r="R72" s="1" t="s">
        <v>553</v>
      </c>
      <c r="S72" s="1"/>
      <c r="T72" s="1" t="s">
        <v>554</v>
      </c>
    </row>
    <row r="73" spans="1:20" ht="52" customHeight="1">
      <c r="A73" s="1" t="s">
        <v>555</v>
      </c>
      <c r="B73" s="1">
        <v>1</v>
      </c>
      <c r="C73" s="1" t="s">
        <v>407</v>
      </c>
      <c r="D73" s="1" t="s">
        <v>124</v>
      </c>
      <c r="E73" s="1" t="s">
        <v>407</v>
      </c>
      <c r="F73" s="1" t="s">
        <v>109</v>
      </c>
      <c r="G73" s="1" t="s">
        <v>556</v>
      </c>
      <c r="H73" s="1" t="s">
        <v>111</v>
      </c>
      <c r="I73" s="1" t="s">
        <v>557</v>
      </c>
      <c r="J73" s="1" t="s">
        <v>128</v>
      </c>
      <c r="K73" s="1" t="s">
        <v>114</v>
      </c>
      <c r="L73" s="1" t="s">
        <v>115</v>
      </c>
      <c r="M73" s="1" t="s">
        <v>558</v>
      </c>
      <c r="N73" s="1" t="s">
        <v>117</v>
      </c>
      <c r="O73" s="1" t="s">
        <v>559</v>
      </c>
      <c r="P73" s="1" t="s">
        <v>131</v>
      </c>
      <c r="Q73" s="1" t="s">
        <v>560</v>
      </c>
      <c r="R73" s="1"/>
      <c r="S73" s="1"/>
      <c r="T73" s="1" t="s">
        <v>561</v>
      </c>
    </row>
    <row r="74" spans="1:20" ht="52" customHeight="1">
      <c r="A74" s="1" t="s">
        <v>562</v>
      </c>
      <c r="B74" s="1">
        <v>1</v>
      </c>
      <c r="C74" s="1" t="s">
        <v>407</v>
      </c>
      <c r="D74" s="1" t="s">
        <v>428</v>
      </c>
      <c r="E74" s="1" t="s">
        <v>407</v>
      </c>
      <c r="F74" s="1" t="s">
        <v>109</v>
      </c>
      <c r="G74" s="1" t="s">
        <v>556</v>
      </c>
      <c r="H74" s="1" t="s">
        <v>157</v>
      </c>
      <c r="I74" s="1" t="s">
        <v>308</v>
      </c>
      <c r="J74" s="1" t="s">
        <v>190</v>
      </c>
      <c r="K74" s="1" t="s">
        <v>191</v>
      </c>
      <c r="L74" s="1" t="s">
        <v>115</v>
      </c>
      <c r="M74" s="1" t="s">
        <v>558</v>
      </c>
      <c r="N74" s="1" t="s">
        <v>117</v>
      </c>
      <c r="O74" s="1" t="s">
        <v>563</v>
      </c>
      <c r="P74" s="1" t="s">
        <v>149</v>
      </c>
      <c r="Q74" s="1" t="s">
        <v>560</v>
      </c>
      <c r="R74" s="1" t="s">
        <v>564</v>
      </c>
      <c r="S74" s="1"/>
      <c r="T74" s="1" t="s">
        <v>565</v>
      </c>
    </row>
    <row r="75" spans="1:20" ht="52" customHeight="1">
      <c r="A75" s="1" t="s">
        <v>566</v>
      </c>
      <c r="B75" s="1">
        <v>1</v>
      </c>
      <c r="C75" s="1" t="s">
        <v>407</v>
      </c>
      <c r="D75" s="1" t="s">
        <v>428</v>
      </c>
      <c r="E75" s="1" t="s">
        <v>407</v>
      </c>
      <c r="F75" s="1" t="s">
        <v>196</v>
      </c>
      <c r="G75" s="1" t="s">
        <v>567</v>
      </c>
      <c r="H75" s="1" t="s">
        <v>111</v>
      </c>
      <c r="I75" s="1" t="s">
        <v>568</v>
      </c>
      <c r="J75" s="1" t="s">
        <v>190</v>
      </c>
      <c r="K75" s="1" t="s">
        <v>191</v>
      </c>
      <c r="L75" s="1" t="s">
        <v>115</v>
      </c>
      <c r="M75" s="1" t="s">
        <v>409</v>
      </c>
      <c r="N75" s="1" t="s">
        <v>201</v>
      </c>
      <c r="O75" s="1" t="s">
        <v>569</v>
      </c>
      <c r="P75" s="1" t="s">
        <v>149</v>
      </c>
      <c r="Q75" s="1"/>
      <c r="R75" s="1" t="s">
        <v>570</v>
      </c>
      <c r="S75" s="1"/>
      <c r="T75" s="1" t="s">
        <v>571</v>
      </c>
    </row>
    <row r="76" spans="1:20" ht="52" customHeight="1">
      <c r="A76" s="1" t="s">
        <v>572</v>
      </c>
      <c r="B76" s="1">
        <v>1</v>
      </c>
      <c r="C76" s="1" t="s">
        <v>407</v>
      </c>
      <c r="D76" s="1" t="s">
        <v>435</v>
      </c>
      <c r="E76" s="1" t="s">
        <v>407</v>
      </c>
      <c r="F76" s="1" t="s">
        <v>196</v>
      </c>
      <c r="G76" s="1" t="s">
        <v>573</v>
      </c>
      <c r="H76" s="1" t="s">
        <v>172</v>
      </c>
      <c r="I76" s="1" t="s">
        <v>574</v>
      </c>
      <c r="J76" s="1" t="s">
        <v>190</v>
      </c>
      <c r="K76" s="1" t="s">
        <v>191</v>
      </c>
      <c r="L76" s="1" t="s">
        <v>115</v>
      </c>
      <c r="M76" s="1" t="s">
        <v>439</v>
      </c>
      <c r="N76" s="1" t="s">
        <v>201</v>
      </c>
      <c r="O76" s="1" t="s">
        <v>575</v>
      </c>
      <c r="P76" s="1" t="s">
        <v>149</v>
      </c>
      <c r="Q76" s="1"/>
      <c r="R76" s="1" t="s">
        <v>576</v>
      </c>
      <c r="S76" s="1"/>
      <c r="T76" s="1" t="s">
        <v>577</v>
      </c>
    </row>
    <row r="77" spans="1:20" ht="52" customHeight="1">
      <c r="A77" s="1" t="s">
        <v>578</v>
      </c>
      <c r="B77" s="1">
        <v>1</v>
      </c>
      <c r="C77" s="1" t="s">
        <v>407</v>
      </c>
      <c r="D77" s="1" t="s">
        <v>428</v>
      </c>
      <c r="E77" s="1" t="s">
        <v>407</v>
      </c>
      <c r="F77" s="1" t="s">
        <v>125</v>
      </c>
      <c r="G77" s="1" t="s">
        <v>579</v>
      </c>
      <c r="H77" s="1" t="s">
        <v>157</v>
      </c>
      <c r="I77" s="1" t="s">
        <v>580</v>
      </c>
      <c r="J77" s="1" t="s">
        <v>146</v>
      </c>
      <c r="K77" s="1" t="s">
        <v>114</v>
      </c>
      <c r="L77" s="1" t="s">
        <v>115</v>
      </c>
      <c r="M77" s="1" t="s">
        <v>581</v>
      </c>
      <c r="N77" s="1" t="s">
        <v>117</v>
      </c>
      <c r="O77" s="1" t="s">
        <v>582</v>
      </c>
      <c r="P77" s="1" t="s">
        <v>149</v>
      </c>
      <c r="Q77" s="1" t="s">
        <v>583</v>
      </c>
      <c r="R77" s="1" t="s">
        <v>584</v>
      </c>
      <c r="S77" s="1"/>
      <c r="T77" s="1" t="s">
        <v>585</v>
      </c>
    </row>
    <row r="78" spans="1:20" ht="52" customHeight="1">
      <c r="A78" s="1" t="s">
        <v>586</v>
      </c>
      <c r="B78" s="1">
        <v>1</v>
      </c>
      <c r="C78" s="1" t="s">
        <v>407</v>
      </c>
      <c r="D78" s="1" t="s">
        <v>428</v>
      </c>
      <c r="E78" s="1" t="s">
        <v>407</v>
      </c>
      <c r="F78" s="1" t="s">
        <v>232</v>
      </c>
      <c r="G78" s="1" t="s">
        <v>587</v>
      </c>
      <c r="H78" s="1" t="s">
        <v>157</v>
      </c>
      <c r="I78" s="1" t="s">
        <v>580</v>
      </c>
      <c r="J78" s="1" t="s">
        <v>146</v>
      </c>
      <c r="K78" s="1" t="s">
        <v>114</v>
      </c>
      <c r="L78" s="1" t="s">
        <v>115</v>
      </c>
      <c r="M78" s="1" t="s">
        <v>588</v>
      </c>
      <c r="N78" s="1" t="s">
        <v>117</v>
      </c>
      <c r="O78" s="1" t="s">
        <v>589</v>
      </c>
      <c r="P78" s="1" t="s">
        <v>149</v>
      </c>
      <c r="Q78" s="1" t="s">
        <v>590</v>
      </c>
      <c r="R78" s="1" t="s">
        <v>591</v>
      </c>
      <c r="S78" s="1"/>
      <c r="T78" s="1" t="s">
        <v>592</v>
      </c>
    </row>
    <row r="79" spans="1:20" ht="52" customHeight="1">
      <c r="A79" s="1" t="s">
        <v>593</v>
      </c>
      <c r="B79" s="1">
        <v>1</v>
      </c>
      <c r="C79" s="1" t="s">
        <v>407</v>
      </c>
      <c r="D79" s="1" t="s">
        <v>428</v>
      </c>
      <c r="E79" s="1" t="s">
        <v>407</v>
      </c>
      <c r="F79" s="1" t="s">
        <v>258</v>
      </c>
      <c r="G79" s="1" t="s">
        <v>594</v>
      </c>
      <c r="H79" s="1" t="s">
        <v>157</v>
      </c>
      <c r="I79" s="1" t="s">
        <v>580</v>
      </c>
      <c r="J79" s="1" t="s">
        <v>146</v>
      </c>
      <c r="K79" s="1" t="s">
        <v>114</v>
      </c>
      <c r="L79" s="1" t="s">
        <v>115</v>
      </c>
      <c r="M79" s="1" t="s">
        <v>595</v>
      </c>
      <c r="N79" s="1" t="s">
        <v>117</v>
      </c>
      <c r="O79" s="1" t="s">
        <v>596</v>
      </c>
      <c r="P79" s="1" t="s">
        <v>149</v>
      </c>
      <c r="Q79" s="1" t="s">
        <v>597</v>
      </c>
      <c r="R79" s="1" t="s">
        <v>598</v>
      </c>
      <c r="S79" s="1"/>
      <c r="T79" s="1" t="s">
        <v>599</v>
      </c>
    </row>
    <row r="80" spans="1:20" ht="52" customHeight="1">
      <c r="A80" s="1" t="s">
        <v>600</v>
      </c>
      <c r="B80" s="1">
        <v>1</v>
      </c>
      <c r="C80" s="1" t="s">
        <v>407</v>
      </c>
      <c r="D80" s="1" t="s">
        <v>467</v>
      </c>
      <c r="E80" s="1" t="s">
        <v>407</v>
      </c>
      <c r="F80" s="1" t="s">
        <v>196</v>
      </c>
      <c r="G80" s="1" t="s">
        <v>468</v>
      </c>
      <c r="H80" s="1" t="s">
        <v>111</v>
      </c>
      <c r="I80" s="1" t="s">
        <v>601</v>
      </c>
      <c r="J80" s="1" t="s">
        <v>183</v>
      </c>
      <c r="K80" s="1" t="s">
        <v>114</v>
      </c>
      <c r="L80" s="1" t="s">
        <v>115</v>
      </c>
      <c r="M80" s="1"/>
      <c r="N80" s="1" t="s">
        <v>201</v>
      </c>
      <c r="O80" s="1" t="s">
        <v>602</v>
      </c>
      <c r="P80" s="1" t="s">
        <v>471</v>
      </c>
      <c r="Q80" s="1"/>
      <c r="R80" s="1" t="s">
        <v>466</v>
      </c>
      <c r="S80" s="1"/>
      <c r="T80" s="1" t="s">
        <v>603</v>
      </c>
    </row>
    <row r="81" spans="1:20" ht="52" customHeight="1">
      <c r="A81" s="1" t="s">
        <v>476</v>
      </c>
      <c r="B81" s="1">
        <v>1</v>
      </c>
      <c r="C81" s="1" t="s">
        <v>407</v>
      </c>
      <c r="D81" s="1" t="s">
        <v>472</v>
      </c>
      <c r="E81" s="1" t="s">
        <v>407</v>
      </c>
      <c r="F81" s="1" t="s">
        <v>196</v>
      </c>
      <c r="G81" s="1" t="s">
        <v>604</v>
      </c>
      <c r="H81" s="1" t="s">
        <v>111</v>
      </c>
      <c r="I81" s="1" t="s">
        <v>605</v>
      </c>
      <c r="J81" s="1" t="s">
        <v>199</v>
      </c>
      <c r="K81" s="1" t="s">
        <v>200</v>
      </c>
      <c r="L81" s="1" t="s">
        <v>115</v>
      </c>
      <c r="M81" s="1"/>
      <c r="N81" s="1" t="s">
        <v>201</v>
      </c>
      <c r="O81" s="1" t="s">
        <v>606</v>
      </c>
      <c r="P81" s="1" t="s">
        <v>411</v>
      </c>
      <c r="Q81" s="1"/>
      <c r="R81" s="1" t="s">
        <v>466</v>
      </c>
      <c r="S81" s="1"/>
      <c r="T81" s="1" t="s">
        <v>607</v>
      </c>
    </row>
    <row r="82" spans="1:20" ht="52" customHeight="1">
      <c r="A82" s="1" t="s">
        <v>482</v>
      </c>
      <c r="B82" s="1">
        <v>1</v>
      </c>
      <c r="C82" s="1" t="s">
        <v>407</v>
      </c>
      <c r="D82" s="1" t="s">
        <v>435</v>
      </c>
      <c r="E82" s="1" t="s">
        <v>407</v>
      </c>
      <c r="F82" s="1" t="s">
        <v>196</v>
      </c>
      <c r="G82" s="1" t="s">
        <v>608</v>
      </c>
      <c r="H82" s="1" t="s">
        <v>172</v>
      </c>
      <c r="I82" s="1" t="s">
        <v>609</v>
      </c>
      <c r="J82" s="1" t="s">
        <v>199</v>
      </c>
      <c r="K82" s="1" t="s">
        <v>200</v>
      </c>
      <c r="L82" s="1" t="s">
        <v>115</v>
      </c>
      <c r="M82" s="1"/>
      <c r="N82" s="1" t="s">
        <v>201</v>
      </c>
      <c r="O82" s="1" t="s">
        <v>610</v>
      </c>
      <c r="P82" s="1" t="s">
        <v>441</v>
      </c>
      <c r="Q82" s="1"/>
      <c r="R82" s="1" t="s">
        <v>466</v>
      </c>
      <c r="S82" s="1"/>
      <c r="T82" s="1" t="s">
        <v>611</v>
      </c>
    </row>
    <row r="83" spans="1:20" ht="52" customHeight="1">
      <c r="A83" s="1" t="s">
        <v>488</v>
      </c>
      <c r="B83" s="1">
        <v>1</v>
      </c>
      <c r="C83" s="1" t="s">
        <v>407</v>
      </c>
      <c r="D83" s="1" t="s">
        <v>218</v>
      </c>
      <c r="E83" s="1" t="s">
        <v>407</v>
      </c>
      <c r="F83" s="1" t="s">
        <v>196</v>
      </c>
      <c r="G83" s="1" t="s">
        <v>485</v>
      </c>
      <c r="H83" s="1" t="s">
        <v>111</v>
      </c>
      <c r="I83" s="1" t="s">
        <v>612</v>
      </c>
      <c r="J83" s="1" t="s">
        <v>199</v>
      </c>
      <c r="K83" s="1" t="s">
        <v>200</v>
      </c>
      <c r="L83" s="1" t="s">
        <v>115</v>
      </c>
      <c r="M83" s="1"/>
      <c r="N83" s="1" t="s">
        <v>201</v>
      </c>
      <c r="O83" s="1" t="s">
        <v>613</v>
      </c>
      <c r="P83" s="1" t="s">
        <v>223</v>
      </c>
      <c r="Q83" s="1"/>
      <c r="R83" s="1" t="s">
        <v>466</v>
      </c>
      <c r="S83" s="1"/>
      <c r="T83" s="1" t="s">
        <v>614</v>
      </c>
    </row>
    <row r="84" spans="1:20" ht="52" customHeight="1">
      <c r="A84" s="1" t="s">
        <v>615</v>
      </c>
      <c r="B84" s="1">
        <v>1</v>
      </c>
      <c r="C84" s="1" t="s">
        <v>407</v>
      </c>
      <c r="D84" s="1" t="s">
        <v>428</v>
      </c>
      <c r="E84" s="1" t="s">
        <v>407</v>
      </c>
      <c r="F84" s="1" t="s">
        <v>196</v>
      </c>
      <c r="G84" s="1" t="s">
        <v>567</v>
      </c>
      <c r="H84" s="1" t="s">
        <v>111</v>
      </c>
      <c r="I84" s="1" t="s">
        <v>366</v>
      </c>
      <c r="J84" s="1" t="s">
        <v>199</v>
      </c>
      <c r="K84" s="1" t="s">
        <v>200</v>
      </c>
      <c r="L84" s="1" t="s">
        <v>115</v>
      </c>
      <c r="M84" s="1" t="s">
        <v>409</v>
      </c>
      <c r="N84" s="1" t="s">
        <v>201</v>
      </c>
      <c r="O84" s="1" t="s">
        <v>616</v>
      </c>
      <c r="P84" s="1" t="s">
        <v>223</v>
      </c>
      <c r="Q84" s="1"/>
      <c r="R84" s="1" t="s">
        <v>566</v>
      </c>
      <c r="S84" s="1"/>
      <c r="T84" s="1" t="s">
        <v>368</v>
      </c>
    </row>
    <row r="85" spans="1:20" ht="52" customHeight="1">
      <c r="A85" s="1" t="s">
        <v>617</v>
      </c>
      <c r="B85" s="1">
        <v>1</v>
      </c>
      <c r="C85" s="1" t="s">
        <v>407</v>
      </c>
      <c r="D85" s="1" t="s">
        <v>435</v>
      </c>
      <c r="E85" s="1" t="s">
        <v>407</v>
      </c>
      <c r="F85" s="1" t="s">
        <v>196</v>
      </c>
      <c r="G85" s="1" t="s">
        <v>573</v>
      </c>
      <c r="H85" s="1" t="s">
        <v>172</v>
      </c>
      <c r="I85" s="1" t="s">
        <v>366</v>
      </c>
      <c r="J85" s="1" t="s">
        <v>199</v>
      </c>
      <c r="K85" s="1" t="s">
        <v>200</v>
      </c>
      <c r="L85" s="1" t="s">
        <v>115</v>
      </c>
      <c r="M85" s="1" t="s">
        <v>439</v>
      </c>
      <c r="N85" s="1" t="s">
        <v>201</v>
      </c>
      <c r="O85" s="1" t="s">
        <v>618</v>
      </c>
      <c r="P85" s="1" t="s">
        <v>223</v>
      </c>
      <c r="Q85" s="1"/>
      <c r="R85" s="1" t="s">
        <v>572</v>
      </c>
      <c r="S85" s="1"/>
      <c r="T85" s="1" t="s">
        <v>368</v>
      </c>
    </row>
    <row r="86" spans="1:20" ht="52" customHeight="1">
      <c r="A86" s="1" t="s">
        <v>619</v>
      </c>
      <c r="B86" s="1">
        <v>1</v>
      </c>
      <c r="C86" s="1" t="s">
        <v>407</v>
      </c>
      <c r="D86" s="1" t="s">
        <v>428</v>
      </c>
      <c r="E86" s="1" t="s">
        <v>407</v>
      </c>
      <c r="F86" s="1" t="s">
        <v>196</v>
      </c>
      <c r="G86" s="1" t="s">
        <v>620</v>
      </c>
      <c r="H86" s="1" t="s">
        <v>111</v>
      </c>
      <c r="I86" s="1" t="s">
        <v>621</v>
      </c>
      <c r="J86" s="1" t="s">
        <v>190</v>
      </c>
      <c r="K86" s="1" t="s">
        <v>191</v>
      </c>
      <c r="L86" s="1" t="s">
        <v>115</v>
      </c>
      <c r="M86" s="1"/>
      <c r="N86" s="1" t="s">
        <v>201</v>
      </c>
      <c r="O86" s="1" t="s">
        <v>622</v>
      </c>
      <c r="P86" s="1" t="s">
        <v>223</v>
      </c>
      <c r="Q86" s="1"/>
      <c r="R86" s="1" t="s">
        <v>623</v>
      </c>
      <c r="S86" s="1"/>
      <c r="T86" s="1" t="s">
        <v>624</v>
      </c>
    </row>
    <row r="87" spans="1:20" ht="52" customHeight="1">
      <c r="A87" s="1" t="s">
        <v>625</v>
      </c>
      <c r="B87" s="1">
        <v>1</v>
      </c>
      <c r="C87" s="1" t="s">
        <v>407</v>
      </c>
      <c r="D87" s="1" t="s">
        <v>428</v>
      </c>
      <c r="E87" s="1" t="s">
        <v>407</v>
      </c>
      <c r="F87" s="1" t="s">
        <v>196</v>
      </c>
      <c r="G87" s="1" t="s">
        <v>626</v>
      </c>
      <c r="H87" s="1" t="s">
        <v>111</v>
      </c>
      <c r="I87" s="1" t="s">
        <v>627</v>
      </c>
      <c r="J87" s="1" t="s">
        <v>190</v>
      </c>
      <c r="K87" s="1" t="s">
        <v>191</v>
      </c>
      <c r="L87" s="1" t="s">
        <v>115</v>
      </c>
      <c r="M87" s="1"/>
      <c r="N87" s="1" t="s">
        <v>201</v>
      </c>
      <c r="O87" s="1" t="s">
        <v>628</v>
      </c>
      <c r="P87" s="1" t="s">
        <v>223</v>
      </c>
      <c r="Q87" s="1"/>
      <c r="R87" s="1" t="s">
        <v>629</v>
      </c>
      <c r="S87" s="1"/>
      <c r="T87" s="1" t="s">
        <v>389</v>
      </c>
    </row>
    <row r="88" spans="1:20" ht="52" customHeight="1">
      <c r="A88" s="1" t="s">
        <v>425</v>
      </c>
      <c r="B88" s="1">
        <v>1</v>
      </c>
      <c r="C88" s="1" t="s">
        <v>407</v>
      </c>
      <c r="D88" s="1" t="s">
        <v>135</v>
      </c>
      <c r="E88" s="1" t="s">
        <v>407</v>
      </c>
      <c r="F88" s="1" t="s">
        <v>196</v>
      </c>
      <c r="G88" s="1" t="s">
        <v>630</v>
      </c>
      <c r="H88" s="1" t="s">
        <v>111</v>
      </c>
      <c r="I88" s="1" t="s">
        <v>403</v>
      </c>
      <c r="J88" s="1" t="s">
        <v>199</v>
      </c>
      <c r="K88" s="1" t="s">
        <v>200</v>
      </c>
      <c r="L88" s="1" t="s">
        <v>174</v>
      </c>
      <c r="M88" s="1"/>
      <c r="N88" s="1" t="s">
        <v>201</v>
      </c>
      <c r="O88" s="1" t="s">
        <v>404</v>
      </c>
      <c r="P88" s="1" t="s">
        <v>139</v>
      </c>
      <c r="Q88" s="1"/>
      <c r="R88" s="1"/>
      <c r="S88" s="1"/>
      <c r="T88" s="1" t="s">
        <v>405</v>
      </c>
    </row>
    <row r="89" spans="1:20" ht="52" customHeight="1">
      <c r="A89" s="1" t="s">
        <v>631</v>
      </c>
      <c r="B89" s="1">
        <v>1</v>
      </c>
      <c r="C89" s="1" t="s">
        <v>632</v>
      </c>
      <c r="D89" s="1" t="s">
        <v>633</v>
      </c>
      <c r="E89" s="1" t="s">
        <v>632</v>
      </c>
      <c r="F89" s="1" t="s">
        <v>634</v>
      </c>
      <c r="G89" s="1" t="s">
        <v>635</v>
      </c>
      <c r="H89" s="1" t="s">
        <v>636</v>
      </c>
      <c r="I89" s="1" t="s">
        <v>637</v>
      </c>
      <c r="J89" s="1" t="s">
        <v>113</v>
      </c>
      <c r="K89" s="1" t="s">
        <v>114</v>
      </c>
      <c r="L89" s="1" t="s">
        <v>115</v>
      </c>
      <c r="M89" s="1" t="s">
        <v>638</v>
      </c>
      <c r="N89" s="1" t="s">
        <v>117</v>
      </c>
      <c r="O89" s="1" t="s">
        <v>639</v>
      </c>
      <c r="P89" s="1" t="s">
        <v>640</v>
      </c>
      <c r="Q89" s="1" t="s">
        <v>641</v>
      </c>
      <c r="R89" s="1" t="s">
        <v>642</v>
      </c>
      <c r="S89" s="1"/>
      <c r="T89" s="1" t="s">
        <v>643</v>
      </c>
    </row>
    <row r="90" spans="1:20" ht="52" customHeight="1">
      <c r="A90" s="1" t="s">
        <v>644</v>
      </c>
      <c r="B90" s="1">
        <v>1</v>
      </c>
      <c r="C90" s="1" t="s">
        <v>632</v>
      </c>
      <c r="D90" s="1" t="s">
        <v>135</v>
      </c>
      <c r="E90" s="1" t="s">
        <v>632</v>
      </c>
      <c r="F90" s="1" t="s">
        <v>634</v>
      </c>
      <c r="G90" s="1" t="s">
        <v>635</v>
      </c>
      <c r="H90" s="1" t="s">
        <v>636</v>
      </c>
      <c r="I90" s="1" t="s">
        <v>645</v>
      </c>
      <c r="J90" s="1" t="s">
        <v>137</v>
      </c>
      <c r="K90" s="1" t="s">
        <v>114</v>
      </c>
      <c r="L90" s="1" t="s">
        <v>115</v>
      </c>
      <c r="M90" s="1" t="s">
        <v>638</v>
      </c>
      <c r="N90" s="1" t="s">
        <v>117</v>
      </c>
      <c r="O90" s="1" t="s">
        <v>646</v>
      </c>
      <c r="P90" s="1" t="s">
        <v>139</v>
      </c>
      <c r="Q90" s="1" t="s">
        <v>647</v>
      </c>
      <c r="R90" s="1" t="s">
        <v>648</v>
      </c>
      <c r="S90" s="1"/>
      <c r="T90" s="1" t="s">
        <v>649</v>
      </c>
    </row>
    <row r="91" spans="1:20" ht="52" customHeight="1">
      <c r="A91" s="1" t="s">
        <v>650</v>
      </c>
      <c r="B91" s="1">
        <v>1</v>
      </c>
      <c r="C91" s="1" t="s">
        <v>632</v>
      </c>
      <c r="D91" s="1" t="s">
        <v>633</v>
      </c>
      <c r="E91" s="1" t="s">
        <v>632</v>
      </c>
      <c r="F91" s="1" t="s">
        <v>634</v>
      </c>
      <c r="G91" s="1" t="s">
        <v>635</v>
      </c>
      <c r="H91" s="1" t="s">
        <v>636</v>
      </c>
      <c r="I91" s="1" t="s">
        <v>651</v>
      </c>
      <c r="J91" s="1" t="s">
        <v>190</v>
      </c>
      <c r="K91" s="1" t="s">
        <v>191</v>
      </c>
      <c r="L91" s="1" t="s">
        <v>115</v>
      </c>
      <c r="M91" s="1" t="s">
        <v>638</v>
      </c>
      <c r="N91" s="1" t="s">
        <v>117</v>
      </c>
      <c r="O91" s="1" t="s">
        <v>652</v>
      </c>
      <c r="P91" s="1" t="s">
        <v>149</v>
      </c>
      <c r="Q91" s="1" t="s">
        <v>653</v>
      </c>
      <c r="R91" s="1" t="s">
        <v>654</v>
      </c>
      <c r="S91" s="1"/>
      <c r="T91" s="1"/>
    </row>
    <row r="92" spans="1:20" ht="52" customHeight="1">
      <c r="A92" s="1" t="s">
        <v>655</v>
      </c>
      <c r="B92" s="1">
        <v>1</v>
      </c>
      <c r="C92" s="1" t="s">
        <v>632</v>
      </c>
      <c r="D92" s="1" t="s">
        <v>633</v>
      </c>
      <c r="E92" s="1" t="s">
        <v>632</v>
      </c>
      <c r="F92" s="1" t="s">
        <v>634</v>
      </c>
      <c r="G92" s="1" t="s">
        <v>635</v>
      </c>
      <c r="H92" s="1" t="s">
        <v>636</v>
      </c>
      <c r="I92" s="1" t="s">
        <v>656</v>
      </c>
      <c r="J92" s="1" t="s">
        <v>146</v>
      </c>
      <c r="K92" s="1" t="s">
        <v>114</v>
      </c>
      <c r="L92" s="1" t="s">
        <v>115</v>
      </c>
      <c r="M92" s="1" t="s">
        <v>638</v>
      </c>
      <c r="N92" s="1" t="s">
        <v>117</v>
      </c>
      <c r="O92" s="1" t="s">
        <v>657</v>
      </c>
      <c r="P92" s="1" t="s">
        <v>149</v>
      </c>
      <c r="Q92" s="1" t="s">
        <v>658</v>
      </c>
      <c r="R92" s="1" t="s">
        <v>650</v>
      </c>
      <c r="S92" s="1"/>
      <c r="T92" s="1" t="s">
        <v>659</v>
      </c>
    </row>
    <row r="93" spans="1:20" ht="52" customHeight="1">
      <c r="A93" s="1" t="s">
        <v>660</v>
      </c>
      <c r="B93" s="1">
        <v>1</v>
      </c>
      <c r="C93" s="1" t="s">
        <v>632</v>
      </c>
      <c r="D93" s="1" t="s">
        <v>633</v>
      </c>
      <c r="E93" s="1" t="s">
        <v>632</v>
      </c>
      <c r="F93" s="1" t="s">
        <v>634</v>
      </c>
      <c r="G93" s="1" t="s">
        <v>661</v>
      </c>
      <c r="H93" s="1" t="s">
        <v>662</v>
      </c>
      <c r="I93" s="1" t="s">
        <v>663</v>
      </c>
      <c r="J93" s="1" t="s">
        <v>113</v>
      </c>
      <c r="K93" s="1" t="s">
        <v>114</v>
      </c>
      <c r="L93" s="1" t="s">
        <v>115</v>
      </c>
      <c r="M93" s="1" t="s">
        <v>664</v>
      </c>
      <c r="N93" s="1" t="s">
        <v>117</v>
      </c>
      <c r="O93" s="1" t="s">
        <v>665</v>
      </c>
      <c r="P93" s="1" t="s">
        <v>640</v>
      </c>
      <c r="Q93" s="1" t="s">
        <v>666</v>
      </c>
      <c r="R93" s="1" t="s">
        <v>667</v>
      </c>
      <c r="S93" s="1"/>
      <c r="T93" s="1" t="s">
        <v>668</v>
      </c>
    </row>
    <row r="94" spans="1:20" ht="52" customHeight="1">
      <c r="A94" s="1" t="s">
        <v>669</v>
      </c>
      <c r="B94" s="1">
        <v>1</v>
      </c>
      <c r="C94" s="1" t="s">
        <v>632</v>
      </c>
      <c r="D94" s="1" t="s">
        <v>135</v>
      </c>
      <c r="E94" s="1" t="s">
        <v>632</v>
      </c>
      <c r="F94" s="1" t="s">
        <v>634</v>
      </c>
      <c r="G94" s="1" t="s">
        <v>661</v>
      </c>
      <c r="H94" s="1" t="s">
        <v>662</v>
      </c>
      <c r="I94" s="1" t="s">
        <v>670</v>
      </c>
      <c r="J94" s="1" t="s">
        <v>137</v>
      </c>
      <c r="K94" s="1" t="s">
        <v>114</v>
      </c>
      <c r="L94" s="1" t="s">
        <v>115</v>
      </c>
      <c r="M94" s="1" t="s">
        <v>664</v>
      </c>
      <c r="N94" s="1" t="s">
        <v>117</v>
      </c>
      <c r="O94" s="1" t="s">
        <v>671</v>
      </c>
      <c r="P94" s="1" t="s">
        <v>139</v>
      </c>
      <c r="Q94" s="1" t="s">
        <v>666</v>
      </c>
      <c r="R94" s="1" t="s">
        <v>648</v>
      </c>
      <c r="S94" s="1"/>
      <c r="T94" s="1" t="s">
        <v>672</v>
      </c>
    </row>
    <row r="95" spans="1:20" ht="52" customHeight="1">
      <c r="A95" s="1" t="s">
        <v>673</v>
      </c>
      <c r="B95" s="1">
        <v>1</v>
      </c>
      <c r="C95" s="1" t="s">
        <v>632</v>
      </c>
      <c r="D95" s="1" t="s">
        <v>633</v>
      </c>
      <c r="E95" s="1" t="s">
        <v>632</v>
      </c>
      <c r="F95" s="1" t="s">
        <v>634</v>
      </c>
      <c r="G95" s="1" t="s">
        <v>661</v>
      </c>
      <c r="H95" s="1" t="s">
        <v>662</v>
      </c>
      <c r="I95" s="1" t="s">
        <v>674</v>
      </c>
      <c r="J95" s="1" t="s">
        <v>146</v>
      </c>
      <c r="K95" s="1" t="s">
        <v>114</v>
      </c>
      <c r="L95" s="1" t="s">
        <v>115</v>
      </c>
      <c r="M95" s="1" t="s">
        <v>664</v>
      </c>
      <c r="N95" s="1" t="s">
        <v>117</v>
      </c>
      <c r="O95" s="1" t="s">
        <v>675</v>
      </c>
      <c r="P95" s="1" t="s">
        <v>149</v>
      </c>
      <c r="Q95" s="1" t="s">
        <v>666</v>
      </c>
      <c r="R95" s="1" t="s">
        <v>676</v>
      </c>
      <c r="S95" s="1"/>
      <c r="T95" s="1" t="s">
        <v>659</v>
      </c>
    </row>
    <row r="96" spans="1:20" ht="52" customHeight="1">
      <c r="A96" s="1" t="s">
        <v>677</v>
      </c>
      <c r="B96" s="1">
        <v>1</v>
      </c>
      <c r="C96" s="1" t="s">
        <v>632</v>
      </c>
      <c r="D96" s="1" t="s">
        <v>678</v>
      </c>
      <c r="E96" s="1" t="s">
        <v>632</v>
      </c>
      <c r="F96" s="1" t="s">
        <v>679</v>
      </c>
      <c r="G96" s="1" t="s">
        <v>680</v>
      </c>
      <c r="H96" s="1" t="s">
        <v>681</v>
      </c>
      <c r="I96" s="1" t="s">
        <v>682</v>
      </c>
      <c r="J96" s="1" t="s">
        <v>113</v>
      </c>
      <c r="K96" s="1" t="s">
        <v>114</v>
      </c>
      <c r="L96" s="1" t="s">
        <v>115</v>
      </c>
      <c r="M96" s="1" t="s">
        <v>683</v>
      </c>
      <c r="N96" s="1" t="s">
        <v>117</v>
      </c>
      <c r="O96" s="1" t="s">
        <v>684</v>
      </c>
      <c r="P96" s="1"/>
      <c r="Q96" s="1" t="s">
        <v>685</v>
      </c>
      <c r="R96" s="1" t="s">
        <v>686</v>
      </c>
      <c r="S96" s="1"/>
      <c r="T96" s="1" t="s">
        <v>687</v>
      </c>
    </row>
    <row r="97" spans="1:20" ht="52" customHeight="1">
      <c r="A97" s="1" t="s">
        <v>688</v>
      </c>
      <c r="B97" s="1">
        <v>1</v>
      </c>
      <c r="C97" s="1" t="s">
        <v>632</v>
      </c>
      <c r="D97" s="1" t="s">
        <v>689</v>
      </c>
      <c r="E97" s="1" t="s">
        <v>632</v>
      </c>
      <c r="F97" s="1" t="s">
        <v>679</v>
      </c>
      <c r="G97" s="1" t="s">
        <v>690</v>
      </c>
      <c r="H97" s="1" t="s">
        <v>681</v>
      </c>
      <c r="I97" s="1" t="s">
        <v>691</v>
      </c>
      <c r="J97" s="1" t="s">
        <v>183</v>
      </c>
      <c r="K97" s="1" t="s">
        <v>114</v>
      </c>
      <c r="L97" s="1" t="s">
        <v>115</v>
      </c>
      <c r="M97" s="1" t="s">
        <v>692</v>
      </c>
      <c r="N97" s="1" t="s">
        <v>117</v>
      </c>
      <c r="O97" s="1" t="s">
        <v>693</v>
      </c>
      <c r="P97" s="1"/>
      <c r="Q97" s="1" t="s">
        <v>694</v>
      </c>
      <c r="R97" s="1" t="s">
        <v>695</v>
      </c>
      <c r="S97" s="1"/>
      <c r="T97" s="1" t="s">
        <v>696</v>
      </c>
    </row>
    <row r="98" spans="1:20" ht="52" customHeight="1">
      <c r="A98" s="1" t="s">
        <v>697</v>
      </c>
      <c r="B98" s="1">
        <v>1</v>
      </c>
      <c r="C98" s="1" t="s">
        <v>632</v>
      </c>
      <c r="D98" s="1" t="s">
        <v>195</v>
      </c>
      <c r="E98" s="1" t="s">
        <v>632</v>
      </c>
      <c r="F98" s="1" t="s">
        <v>196</v>
      </c>
      <c r="G98" s="1" t="s">
        <v>698</v>
      </c>
      <c r="H98" s="1" t="s">
        <v>699</v>
      </c>
      <c r="I98" s="1" t="s">
        <v>198</v>
      </c>
      <c r="J98" s="1" t="s">
        <v>199</v>
      </c>
      <c r="K98" s="1" t="s">
        <v>200</v>
      </c>
      <c r="L98" s="1" t="s">
        <v>115</v>
      </c>
      <c r="M98" s="1"/>
      <c r="N98" s="1" t="s">
        <v>201</v>
      </c>
      <c r="O98" s="1" t="s">
        <v>700</v>
      </c>
      <c r="P98" s="1" t="s">
        <v>640</v>
      </c>
      <c r="Q98" s="1"/>
      <c r="R98" s="1"/>
      <c r="S98" s="1"/>
      <c r="T98" s="1" t="s">
        <v>204</v>
      </c>
    </row>
    <row r="99" spans="1:20" ht="52" customHeight="1">
      <c r="A99" s="1" t="s">
        <v>701</v>
      </c>
      <c r="B99" s="1">
        <v>1</v>
      </c>
      <c r="C99" s="1" t="s">
        <v>632</v>
      </c>
      <c r="D99" s="1" t="s">
        <v>702</v>
      </c>
      <c r="E99" s="1" t="s">
        <v>632</v>
      </c>
      <c r="F99" s="1" t="s">
        <v>196</v>
      </c>
      <c r="G99" s="1" t="s">
        <v>703</v>
      </c>
      <c r="H99" s="1" t="s">
        <v>699</v>
      </c>
      <c r="I99" s="1" t="s">
        <v>704</v>
      </c>
      <c r="J99" s="1" t="s">
        <v>183</v>
      </c>
      <c r="K99" s="1" t="s">
        <v>114</v>
      </c>
      <c r="L99" s="1" t="s">
        <v>115</v>
      </c>
      <c r="M99" s="1"/>
      <c r="N99" s="1" t="s">
        <v>201</v>
      </c>
      <c r="O99" s="1" t="s">
        <v>705</v>
      </c>
      <c r="P99" s="1" t="s">
        <v>706</v>
      </c>
      <c r="Q99" s="1"/>
      <c r="R99" s="1" t="s">
        <v>707</v>
      </c>
      <c r="S99" s="1"/>
      <c r="T99" s="1" t="s">
        <v>708</v>
      </c>
    </row>
    <row r="100" spans="1:20" ht="52" customHeight="1">
      <c r="A100" s="1" t="s">
        <v>686</v>
      </c>
      <c r="B100" s="1">
        <v>1</v>
      </c>
      <c r="C100" s="1" t="s">
        <v>632</v>
      </c>
      <c r="D100" s="1" t="s">
        <v>678</v>
      </c>
      <c r="E100" s="1" t="s">
        <v>632</v>
      </c>
      <c r="F100" s="1" t="s">
        <v>196</v>
      </c>
      <c r="G100" s="1" t="s">
        <v>709</v>
      </c>
      <c r="H100" s="1" t="s">
        <v>681</v>
      </c>
      <c r="I100" s="1" t="s">
        <v>710</v>
      </c>
      <c r="J100" s="1" t="s">
        <v>183</v>
      </c>
      <c r="K100" s="1" t="s">
        <v>114</v>
      </c>
      <c r="L100" s="1" t="s">
        <v>115</v>
      </c>
      <c r="M100" s="1"/>
      <c r="N100" s="1" t="s">
        <v>201</v>
      </c>
      <c r="O100" s="1" t="s">
        <v>711</v>
      </c>
      <c r="P100" s="1"/>
      <c r="Q100" s="1"/>
      <c r="R100" s="1" t="s">
        <v>712</v>
      </c>
      <c r="S100" s="1"/>
      <c r="T100" s="1" t="s">
        <v>713</v>
      </c>
    </row>
    <row r="101" spans="1:20" ht="52" customHeight="1">
      <c r="A101" s="1" t="s">
        <v>714</v>
      </c>
      <c r="B101" s="1">
        <v>1</v>
      </c>
      <c r="C101" s="1" t="s">
        <v>632</v>
      </c>
      <c r="D101" s="1" t="s">
        <v>195</v>
      </c>
      <c r="E101" s="1" t="s">
        <v>632</v>
      </c>
      <c r="F101" s="1" t="s">
        <v>196</v>
      </c>
      <c r="G101" s="1" t="s">
        <v>715</v>
      </c>
      <c r="H101" s="1" t="s">
        <v>716</v>
      </c>
      <c r="I101" s="1" t="s">
        <v>198</v>
      </c>
      <c r="J101" s="1" t="s">
        <v>199</v>
      </c>
      <c r="K101" s="1" t="s">
        <v>200</v>
      </c>
      <c r="L101" s="1" t="s">
        <v>174</v>
      </c>
      <c r="M101" s="1"/>
      <c r="N101" s="1" t="s">
        <v>201</v>
      </c>
      <c r="O101" s="1" t="s">
        <v>717</v>
      </c>
      <c r="P101" s="1" t="s">
        <v>718</v>
      </c>
      <c r="Q101" s="1"/>
      <c r="R101" s="1"/>
      <c r="S101" s="1"/>
      <c r="T101" s="1" t="s">
        <v>204</v>
      </c>
    </row>
    <row r="102" spans="1:20" ht="52" customHeight="1">
      <c r="A102" s="1" t="s">
        <v>719</v>
      </c>
      <c r="B102" s="1">
        <v>1</v>
      </c>
      <c r="C102" s="1" t="s">
        <v>632</v>
      </c>
      <c r="D102" s="1" t="s">
        <v>702</v>
      </c>
      <c r="E102" s="1" t="s">
        <v>632</v>
      </c>
      <c r="F102" s="1" t="s">
        <v>196</v>
      </c>
      <c r="G102" s="1" t="s">
        <v>720</v>
      </c>
      <c r="H102" s="1" t="s">
        <v>716</v>
      </c>
      <c r="I102" s="1" t="s">
        <v>721</v>
      </c>
      <c r="J102" s="1" t="s">
        <v>183</v>
      </c>
      <c r="K102" s="1" t="s">
        <v>114</v>
      </c>
      <c r="L102" s="1" t="s">
        <v>174</v>
      </c>
      <c r="M102" s="1"/>
      <c r="N102" s="1" t="s">
        <v>201</v>
      </c>
      <c r="O102" s="1" t="s">
        <v>722</v>
      </c>
      <c r="P102" s="1" t="s">
        <v>718</v>
      </c>
      <c r="Q102" s="1"/>
      <c r="R102" s="1" t="s">
        <v>723</v>
      </c>
      <c r="S102" s="1"/>
      <c r="T102" s="1" t="s">
        <v>724</v>
      </c>
    </row>
    <row r="103" spans="1:20" ht="52" customHeight="1">
      <c r="A103" s="1" t="s">
        <v>725</v>
      </c>
      <c r="B103" s="1">
        <v>1</v>
      </c>
      <c r="C103" s="1" t="s">
        <v>632</v>
      </c>
      <c r="D103" s="1" t="s">
        <v>726</v>
      </c>
      <c r="E103" s="1" t="s">
        <v>632</v>
      </c>
      <c r="F103" s="1" t="s">
        <v>196</v>
      </c>
      <c r="G103" s="1" t="s">
        <v>727</v>
      </c>
      <c r="H103" s="1" t="s">
        <v>728</v>
      </c>
      <c r="I103" s="1" t="s">
        <v>729</v>
      </c>
      <c r="J103" s="1" t="s">
        <v>183</v>
      </c>
      <c r="K103" s="1" t="s">
        <v>114</v>
      </c>
      <c r="L103" s="1" t="s">
        <v>174</v>
      </c>
      <c r="M103" s="1"/>
      <c r="N103" s="1" t="s">
        <v>201</v>
      </c>
      <c r="O103" s="1" t="s">
        <v>730</v>
      </c>
      <c r="P103" s="1" t="s">
        <v>731</v>
      </c>
      <c r="Q103" s="1"/>
      <c r="R103" s="1" t="s">
        <v>732</v>
      </c>
      <c r="S103" s="1"/>
      <c r="T103" s="1" t="s">
        <v>733</v>
      </c>
    </row>
    <row r="104" spans="1:20" ht="52" customHeight="1">
      <c r="A104" s="1" t="s">
        <v>734</v>
      </c>
      <c r="B104" s="1">
        <v>1</v>
      </c>
      <c r="C104" s="1" t="s">
        <v>632</v>
      </c>
      <c r="D104" s="1" t="s">
        <v>218</v>
      </c>
      <c r="E104" s="1" t="s">
        <v>632</v>
      </c>
      <c r="F104" s="1" t="s">
        <v>196</v>
      </c>
      <c r="G104" s="1" t="s">
        <v>735</v>
      </c>
      <c r="H104" s="1" t="s">
        <v>736</v>
      </c>
      <c r="I104" s="1" t="s">
        <v>737</v>
      </c>
      <c r="J104" s="1" t="s">
        <v>183</v>
      </c>
      <c r="K104" s="1" t="s">
        <v>221</v>
      </c>
      <c r="L104" s="1" t="s">
        <v>174</v>
      </c>
      <c r="M104" s="1"/>
      <c r="N104" s="1" t="s">
        <v>201</v>
      </c>
      <c r="O104" s="1" t="s">
        <v>738</v>
      </c>
      <c r="P104" s="1" t="s">
        <v>223</v>
      </c>
      <c r="Q104" s="1"/>
      <c r="R104" s="1" t="s">
        <v>739</v>
      </c>
      <c r="S104" s="1"/>
      <c r="T104" s="1" t="s">
        <v>740</v>
      </c>
    </row>
    <row r="105" spans="1:20" ht="52" customHeight="1">
      <c r="A105" s="1" t="s">
        <v>741</v>
      </c>
      <c r="B105" s="1">
        <v>1</v>
      </c>
      <c r="C105" s="1" t="s">
        <v>632</v>
      </c>
      <c r="D105" s="1" t="s">
        <v>218</v>
      </c>
      <c r="E105" s="1" t="s">
        <v>632</v>
      </c>
      <c r="F105" s="1" t="s">
        <v>196</v>
      </c>
      <c r="G105" s="1" t="s">
        <v>742</v>
      </c>
      <c r="H105" s="1" t="s">
        <v>736</v>
      </c>
      <c r="I105" s="1" t="s">
        <v>228</v>
      </c>
      <c r="J105" s="1" t="s">
        <v>183</v>
      </c>
      <c r="K105" s="1" t="s">
        <v>114</v>
      </c>
      <c r="L105" s="1" t="s">
        <v>115</v>
      </c>
      <c r="M105" s="1"/>
      <c r="N105" s="1" t="s">
        <v>201</v>
      </c>
      <c r="O105" s="1" t="s">
        <v>229</v>
      </c>
      <c r="P105" s="1" t="s">
        <v>223</v>
      </c>
      <c r="Q105" s="1"/>
      <c r="R105" s="1" t="s">
        <v>739</v>
      </c>
      <c r="S105" s="1"/>
      <c r="T105" s="1" t="s">
        <v>743</v>
      </c>
    </row>
    <row r="106" spans="1:20" ht="52" customHeight="1">
      <c r="A106" s="1" t="s">
        <v>744</v>
      </c>
      <c r="B106" s="1">
        <v>1</v>
      </c>
      <c r="C106" s="1" t="s">
        <v>632</v>
      </c>
      <c r="D106" s="1" t="s">
        <v>195</v>
      </c>
      <c r="E106" s="1" t="s">
        <v>632</v>
      </c>
      <c r="F106" s="1" t="s">
        <v>196</v>
      </c>
      <c r="G106" s="1" t="s">
        <v>745</v>
      </c>
      <c r="H106" s="1" t="s">
        <v>728</v>
      </c>
      <c r="I106" s="1" t="s">
        <v>198</v>
      </c>
      <c r="J106" s="1" t="s">
        <v>199</v>
      </c>
      <c r="K106" s="1" t="s">
        <v>200</v>
      </c>
      <c r="L106" s="1" t="s">
        <v>174</v>
      </c>
      <c r="M106" s="1"/>
      <c r="N106" s="1" t="s">
        <v>201</v>
      </c>
      <c r="O106" s="1" t="s">
        <v>746</v>
      </c>
      <c r="P106" s="1" t="s">
        <v>747</v>
      </c>
      <c r="Q106" s="1"/>
      <c r="R106" s="1"/>
      <c r="S106" s="1"/>
      <c r="T106" s="1" t="s">
        <v>748</v>
      </c>
    </row>
    <row r="107" spans="1:20" ht="52" customHeight="1">
      <c r="A107" s="1" t="s">
        <v>749</v>
      </c>
      <c r="B107" s="1">
        <v>1</v>
      </c>
      <c r="C107" s="1" t="s">
        <v>632</v>
      </c>
      <c r="D107" s="1" t="s">
        <v>195</v>
      </c>
      <c r="E107" s="1" t="s">
        <v>632</v>
      </c>
      <c r="F107" s="1" t="s">
        <v>196</v>
      </c>
      <c r="G107" s="1" t="s">
        <v>745</v>
      </c>
      <c r="H107" s="1" t="s">
        <v>728</v>
      </c>
      <c r="I107" s="1" t="s">
        <v>750</v>
      </c>
      <c r="J107" s="1" t="s">
        <v>183</v>
      </c>
      <c r="K107" s="1" t="s">
        <v>114</v>
      </c>
      <c r="L107" s="1" t="s">
        <v>174</v>
      </c>
      <c r="M107" s="1"/>
      <c r="N107" s="1" t="s">
        <v>201</v>
      </c>
      <c r="O107" s="1" t="s">
        <v>751</v>
      </c>
      <c r="P107" s="1" t="s">
        <v>747</v>
      </c>
      <c r="Q107" s="1"/>
      <c r="R107" s="1" t="s">
        <v>744</v>
      </c>
      <c r="S107" s="1"/>
      <c r="T107" s="1" t="s">
        <v>752</v>
      </c>
    </row>
    <row r="108" spans="1:20" ht="52" customHeight="1">
      <c r="A108" s="1" t="s">
        <v>753</v>
      </c>
      <c r="B108" s="1">
        <v>1</v>
      </c>
      <c r="C108" s="1" t="s">
        <v>632</v>
      </c>
      <c r="D108" s="1" t="s">
        <v>678</v>
      </c>
      <c r="E108" s="1" t="s">
        <v>632</v>
      </c>
      <c r="F108" s="1" t="s">
        <v>679</v>
      </c>
      <c r="G108" s="1" t="s">
        <v>690</v>
      </c>
      <c r="H108" s="1" t="s">
        <v>681</v>
      </c>
      <c r="I108" s="1" t="s">
        <v>754</v>
      </c>
      <c r="J108" s="1" t="s">
        <v>190</v>
      </c>
      <c r="K108" s="1" t="s">
        <v>191</v>
      </c>
      <c r="L108" s="1" t="s">
        <v>115</v>
      </c>
      <c r="M108" s="1" t="s">
        <v>692</v>
      </c>
      <c r="N108" s="1" t="s">
        <v>117</v>
      </c>
      <c r="O108" s="1" t="s">
        <v>755</v>
      </c>
      <c r="P108" s="1" t="s">
        <v>149</v>
      </c>
      <c r="Q108" s="1" t="s">
        <v>694</v>
      </c>
      <c r="R108" s="1" t="s">
        <v>756</v>
      </c>
      <c r="S108" s="1"/>
      <c r="T108" s="1"/>
    </row>
    <row r="109" spans="1:20" ht="52" customHeight="1">
      <c r="A109" s="1" t="s">
        <v>757</v>
      </c>
      <c r="B109" s="1">
        <v>1</v>
      </c>
      <c r="C109" s="1" t="s">
        <v>632</v>
      </c>
      <c r="D109" s="1" t="s">
        <v>678</v>
      </c>
      <c r="E109" s="1" t="s">
        <v>632</v>
      </c>
      <c r="F109" s="1" t="s">
        <v>679</v>
      </c>
      <c r="G109" s="1" t="s">
        <v>758</v>
      </c>
      <c r="H109" s="1" t="s">
        <v>681</v>
      </c>
      <c r="I109" s="1" t="s">
        <v>759</v>
      </c>
      <c r="J109" s="1" t="s">
        <v>113</v>
      </c>
      <c r="K109" s="1" t="s">
        <v>114</v>
      </c>
      <c r="L109" s="1" t="s">
        <v>115</v>
      </c>
      <c r="M109" s="1" t="s">
        <v>760</v>
      </c>
      <c r="N109" s="1" t="s">
        <v>117</v>
      </c>
      <c r="O109" s="1" t="s">
        <v>761</v>
      </c>
      <c r="P109" s="1"/>
      <c r="Q109" s="1" t="s">
        <v>762</v>
      </c>
      <c r="R109" s="1" t="s">
        <v>686</v>
      </c>
      <c r="S109" s="1"/>
      <c r="T109" s="1" t="s">
        <v>1921</v>
      </c>
    </row>
    <row r="110" spans="1:20" ht="52" customHeight="1">
      <c r="A110" s="1" t="s">
        <v>763</v>
      </c>
      <c r="B110" s="1">
        <v>1</v>
      </c>
      <c r="C110" s="1" t="s">
        <v>632</v>
      </c>
      <c r="D110" s="1" t="s">
        <v>764</v>
      </c>
      <c r="E110" s="1" t="s">
        <v>632</v>
      </c>
      <c r="F110" s="1" t="s">
        <v>679</v>
      </c>
      <c r="G110" s="1" t="s">
        <v>758</v>
      </c>
      <c r="H110" s="1" t="s">
        <v>681</v>
      </c>
      <c r="I110" s="1" t="s">
        <v>1920</v>
      </c>
      <c r="J110" s="1" t="s">
        <v>183</v>
      </c>
      <c r="K110" s="1" t="s">
        <v>200</v>
      </c>
      <c r="L110" s="1" t="s">
        <v>1415</v>
      </c>
      <c r="M110" s="1" t="s">
        <v>760</v>
      </c>
      <c r="N110" s="1" t="s">
        <v>201</v>
      </c>
      <c r="O110" s="1" t="s">
        <v>765</v>
      </c>
      <c r="P110" s="1" t="s">
        <v>149</v>
      </c>
      <c r="Q110" s="1"/>
      <c r="R110" s="1" t="s">
        <v>757</v>
      </c>
      <c r="S110" s="1"/>
      <c r="T110" s="1" t="s">
        <v>766</v>
      </c>
    </row>
    <row r="111" spans="1:20" ht="52" customHeight="1">
      <c r="A111" s="1" t="s">
        <v>767</v>
      </c>
      <c r="B111" s="1">
        <v>1</v>
      </c>
      <c r="C111" s="1" t="s">
        <v>632</v>
      </c>
      <c r="D111" s="1" t="s">
        <v>764</v>
      </c>
      <c r="E111" s="1" t="s">
        <v>632</v>
      </c>
      <c r="F111" s="1" t="s">
        <v>679</v>
      </c>
      <c r="G111" s="1" t="s">
        <v>680</v>
      </c>
      <c r="H111" s="1" t="s">
        <v>681</v>
      </c>
      <c r="I111" s="1" t="s">
        <v>674</v>
      </c>
      <c r="J111" s="1" t="s">
        <v>146</v>
      </c>
      <c r="K111" s="1" t="s">
        <v>114</v>
      </c>
      <c r="L111" s="1" t="s">
        <v>115</v>
      </c>
      <c r="M111" s="1" t="s">
        <v>683</v>
      </c>
      <c r="N111" s="1" t="s">
        <v>117</v>
      </c>
      <c r="O111" s="1" t="s">
        <v>768</v>
      </c>
      <c r="P111" s="1" t="s">
        <v>149</v>
      </c>
      <c r="Q111" s="1" t="s">
        <v>762</v>
      </c>
      <c r="R111" s="1" t="s">
        <v>769</v>
      </c>
      <c r="S111" s="1"/>
      <c r="T111" s="1" t="s">
        <v>770</v>
      </c>
    </row>
    <row r="112" spans="1:20" ht="52" customHeight="1">
      <c r="A112" s="1" t="s">
        <v>771</v>
      </c>
      <c r="B112" s="1">
        <v>1</v>
      </c>
      <c r="C112" s="1" t="s">
        <v>632</v>
      </c>
      <c r="D112" s="1" t="s">
        <v>772</v>
      </c>
      <c r="E112" s="1" t="s">
        <v>632</v>
      </c>
      <c r="F112" s="1" t="s">
        <v>773</v>
      </c>
      <c r="G112" s="1" t="s">
        <v>774</v>
      </c>
      <c r="H112" s="1" t="s">
        <v>775</v>
      </c>
      <c r="I112" s="1" t="s">
        <v>776</v>
      </c>
      <c r="J112" s="1" t="s">
        <v>113</v>
      </c>
      <c r="K112" s="1" t="s">
        <v>114</v>
      </c>
      <c r="L112" s="1" t="s">
        <v>115</v>
      </c>
      <c r="M112" s="1" t="s">
        <v>777</v>
      </c>
      <c r="N112" s="1" t="s">
        <v>117</v>
      </c>
      <c r="O112" s="1" t="s">
        <v>778</v>
      </c>
      <c r="P112" s="1" t="s">
        <v>706</v>
      </c>
      <c r="Q112" s="1" t="s">
        <v>779</v>
      </c>
      <c r="R112" s="1" t="s">
        <v>780</v>
      </c>
      <c r="S112" s="1"/>
      <c r="T112" s="1" t="s">
        <v>781</v>
      </c>
    </row>
    <row r="113" spans="1:20" ht="52" customHeight="1">
      <c r="A113" s="1" t="s">
        <v>782</v>
      </c>
      <c r="B113" s="1">
        <v>1</v>
      </c>
      <c r="C113" s="1" t="s">
        <v>632</v>
      </c>
      <c r="D113" s="1" t="s">
        <v>772</v>
      </c>
      <c r="E113" s="1" t="s">
        <v>632</v>
      </c>
      <c r="F113" s="1" t="s">
        <v>773</v>
      </c>
      <c r="G113" s="1" t="s">
        <v>774</v>
      </c>
      <c r="H113" s="1" t="s">
        <v>775</v>
      </c>
      <c r="I113" s="1" t="s">
        <v>783</v>
      </c>
      <c r="J113" s="1" t="s">
        <v>190</v>
      </c>
      <c r="K113" s="1" t="s">
        <v>191</v>
      </c>
      <c r="L113" s="1" t="s">
        <v>115</v>
      </c>
      <c r="M113" s="1" t="s">
        <v>777</v>
      </c>
      <c r="N113" s="1" t="s">
        <v>117</v>
      </c>
      <c r="O113" s="1" t="s">
        <v>784</v>
      </c>
      <c r="P113" s="1" t="s">
        <v>149</v>
      </c>
      <c r="Q113" s="1" t="s">
        <v>785</v>
      </c>
      <c r="R113" s="1" t="s">
        <v>771</v>
      </c>
      <c r="S113" s="1"/>
      <c r="T113" s="1"/>
    </row>
    <row r="114" spans="1:20" ht="52" customHeight="1">
      <c r="A114" s="1" t="s">
        <v>786</v>
      </c>
      <c r="B114" s="1">
        <v>1</v>
      </c>
      <c r="C114" s="1" t="s">
        <v>632</v>
      </c>
      <c r="D114" s="1" t="s">
        <v>772</v>
      </c>
      <c r="E114" s="1" t="s">
        <v>632</v>
      </c>
      <c r="F114" s="1" t="s">
        <v>773</v>
      </c>
      <c r="G114" s="1" t="s">
        <v>774</v>
      </c>
      <c r="H114" s="1" t="s">
        <v>775</v>
      </c>
      <c r="I114" s="1" t="s">
        <v>674</v>
      </c>
      <c r="J114" s="1" t="s">
        <v>146</v>
      </c>
      <c r="K114" s="1" t="s">
        <v>114</v>
      </c>
      <c r="L114" s="1" t="s">
        <v>115</v>
      </c>
      <c r="M114" s="1" t="s">
        <v>777</v>
      </c>
      <c r="N114" s="1" t="s">
        <v>117</v>
      </c>
      <c r="O114" s="1" t="s">
        <v>787</v>
      </c>
      <c r="P114" s="1" t="s">
        <v>149</v>
      </c>
      <c r="Q114" s="1" t="s">
        <v>785</v>
      </c>
      <c r="R114" s="1" t="s">
        <v>788</v>
      </c>
      <c r="S114" s="1"/>
      <c r="T114" s="1" t="s">
        <v>789</v>
      </c>
    </row>
    <row r="115" spans="1:20" ht="52" customHeight="1">
      <c r="A115" s="1" t="s">
        <v>790</v>
      </c>
      <c r="B115" s="1">
        <v>1</v>
      </c>
      <c r="C115" s="1" t="s">
        <v>632</v>
      </c>
      <c r="D115" s="1" t="s">
        <v>772</v>
      </c>
      <c r="E115" s="1" t="s">
        <v>632</v>
      </c>
      <c r="F115" s="1" t="s">
        <v>773</v>
      </c>
      <c r="G115" s="1" t="s">
        <v>791</v>
      </c>
      <c r="H115" s="1" t="s">
        <v>775</v>
      </c>
      <c r="I115" s="1" t="s">
        <v>792</v>
      </c>
      <c r="J115" s="1" t="s">
        <v>113</v>
      </c>
      <c r="K115" s="1" t="s">
        <v>114</v>
      </c>
      <c r="L115" s="1" t="s">
        <v>115</v>
      </c>
      <c r="M115" s="1" t="s">
        <v>793</v>
      </c>
      <c r="N115" s="1" t="s">
        <v>117</v>
      </c>
      <c r="O115" s="1" t="s">
        <v>794</v>
      </c>
      <c r="P115" s="1" t="s">
        <v>640</v>
      </c>
      <c r="Q115" s="1" t="s">
        <v>795</v>
      </c>
      <c r="R115" s="1" t="s">
        <v>697</v>
      </c>
      <c r="S115" s="1"/>
      <c r="T115" s="1" t="s">
        <v>796</v>
      </c>
    </row>
    <row r="116" spans="1:20" ht="52" customHeight="1">
      <c r="A116" s="1" t="s">
        <v>797</v>
      </c>
      <c r="B116" s="1">
        <v>1</v>
      </c>
      <c r="C116" s="1" t="s">
        <v>632</v>
      </c>
      <c r="D116" s="1" t="s">
        <v>772</v>
      </c>
      <c r="E116" s="1" t="s">
        <v>632</v>
      </c>
      <c r="F116" s="1" t="s">
        <v>773</v>
      </c>
      <c r="G116" s="1" t="s">
        <v>791</v>
      </c>
      <c r="H116" s="1" t="s">
        <v>775</v>
      </c>
      <c r="I116" s="1" t="s">
        <v>798</v>
      </c>
      <c r="J116" s="1" t="s">
        <v>190</v>
      </c>
      <c r="K116" s="1" t="s">
        <v>191</v>
      </c>
      <c r="L116" s="1" t="s">
        <v>115</v>
      </c>
      <c r="M116" s="1" t="s">
        <v>793</v>
      </c>
      <c r="N116" s="1" t="s">
        <v>117</v>
      </c>
      <c r="O116" s="1" t="s">
        <v>799</v>
      </c>
      <c r="P116" s="1" t="s">
        <v>149</v>
      </c>
      <c r="Q116" s="1" t="s">
        <v>800</v>
      </c>
      <c r="R116" s="1" t="s">
        <v>790</v>
      </c>
      <c r="S116" s="1"/>
      <c r="T116" s="1" t="s">
        <v>801</v>
      </c>
    </row>
    <row r="117" spans="1:20" ht="52" customHeight="1">
      <c r="A117" s="1" t="s">
        <v>802</v>
      </c>
      <c r="B117" s="1">
        <v>1</v>
      </c>
      <c r="C117" s="1" t="s">
        <v>632</v>
      </c>
      <c r="D117" s="1" t="s">
        <v>772</v>
      </c>
      <c r="E117" s="1" t="s">
        <v>632</v>
      </c>
      <c r="F117" s="1" t="s">
        <v>803</v>
      </c>
      <c r="G117" s="1" t="s">
        <v>804</v>
      </c>
      <c r="H117" s="1" t="s">
        <v>805</v>
      </c>
      <c r="I117" s="1" t="s">
        <v>806</v>
      </c>
      <c r="J117" s="1" t="s">
        <v>113</v>
      </c>
      <c r="K117" s="1" t="s">
        <v>114</v>
      </c>
      <c r="L117" s="1" t="s">
        <v>115</v>
      </c>
      <c r="M117" s="1" t="s">
        <v>807</v>
      </c>
      <c r="N117" s="1" t="s">
        <v>117</v>
      </c>
      <c r="O117" s="1" t="s">
        <v>808</v>
      </c>
      <c r="P117" s="1" t="s">
        <v>706</v>
      </c>
      <c r="Q117" s="1" t="s">
        <v>809</v>
      </c>
      <c r="R117" s="1" t="s">
        <v>810</v>
      </c>
      <c r="S117" s="1"/>
      <c r="T117" s="1" t="s">
        <v>811</v>
      </c>
    </row>
    <row r="118" spans="1:20" ht="52" customHeight="1">
      <c r="A118" s="1" t="s">
        <v>812</v>
      </c>
      <c r="B118" s="1">
        <v>1</v>
      </c>
      <c r="C118" s="1" t="s">
        <v>632</v>
      </c>
      <c r="D118" s="1" t="s">
        <v>772</v>
      </c>
      <c r="E118" s="1" t="s">
        <v>632</v>
      </c>
      <c r="F118" s="1" t="s">
        <v>803</v>
      </c>
      <c r="G118" s="1" t="s">
        <v>804</v>
      </c>
      <c r="H118" s="1" t="s">
        <v>805</v>
      </c>
      <c r="I118" s="1" t="s">
        <v>651</v>
      </c>
      <c r="J118" s="1" t="s">
        <v>190</v>
      </c>
      <c r="K118" s="1" t="s">
        <v>191</v>
      </c>
      <c r="L118" s="1" t="s">
        <v>115</v>
      </c>
      <c r="M118" s="1" t="s">
        <v>807</v>
      </c>
      <c r="N118" s="1" t="s">
        <v>117</v>
      </c>
      <c r="O118" s="1" t="s">
        <v>813</v>
      </c>
      <c r="P118" s="1" t="s">
        <v>149</v>
      </c>
      <c r="Q118" s="1" t="s">
        <v>814</v>
      </c>
      <c r="R118" s="1" t="s">
        <v>802</v>
      </c>
      <c r="S118" s="1"/>
      <c r="T118" s="1" t="s">
        <v>815</v>
      </c>
    </row>
    <row r="119" spans="1:20" ht="52" customHeight="1">
      <c r="A119" s="1" t="s">
        <v>816</v>
      </c>
      <c r="B119" s="1">
        <v>1</v>
      </c>
      <c r="C119" s="1" t="s">
        <v>632</v>
      </c>
      <c r="D119" s="1" t="s">
        <v>772</v>
      </c>
      <c r="E119" s="1" t="s">
        <v>632</v>
      </c>
      <c r="F119" s="1" t="s">
        <v>803</v>
      </c>
      <c r="G119" s="1" t="s">
        <v>804</v>
      </c>
      <c r="H119" s="1" t="s">
        <v>805</v>
      </c>
      <c r="I119" s="1" t="s">
        <v>656</v>
      </c>
      <c r="J119" s="1" t="s">
        <v>146</v>
      </c>
      <c r="K119" s="1" t="s">
        <v>114</v>
      </c>
      <c r="L119" s="1" t="s">
        <v>115</v>
      </c>
      <c r="M119" s="1" t="s">
        <v>807</v>
      </c>
      <c r="N119" s="1" t="s">
        <v>117</v>
      </c>
      <c r="O119" s="1" t="s">
        <v>817</v>
      </c>
      <c r="P119" s="1" t="s">
        <v>149</v>
      </c>
      <c r="Q119" s="1" t="s">
        <v>814</v>
      </c>
      <c r="R119" s="1" t="s">
        <v>812</v>
      </c>
      <c r="S119" s="1"/>
      <c r="T119" s="1" t="s">
        <v>818</v>
      </c>
    </row>
    <row r="120" spans="1:20" ht="52" customHeight="1">
      <c r="A120" s="1" t="s">
        <v>788</v>
      </c>
      <c r="B120" s="1">
        <v>1</v>
      </c>
      <c r="C120" s="1" t="s">
        <v>632</v>
      </c>
      <c r="D120" s="1" t="s">
        <v>772</v>
      </c>
      <c r="E120" s="1" t="s">
        <v>632</v>
      </c>
      <c r="F120" s="1" t="s">
        <v>773</v>
      </c>
      <c r="G120" s="1" t="s">
        <v>774</v>
      </c>
      <c r="H120" s="1" t="s">
        <v>775</v>
      </c>
      <c r="I120" s="1" t="s">
        <v>819</v>
      </c>
      <c r="J120" s="1" t="s">
        <v>190</v>
      </c>
      <c r="K120" s="1" t="s">
        <v>191</v>
      </c>
      <c r="L120" s="1" t="s">
        <v>115</v>
      </c>
      <c r="M120" s="1" t="s">
        <v>777</v>
      </c>
      <c r="N120" s="1" t="s">
        <v>201</v>
      </c>
      <c r="O120" s="1" t="s">
        <v>820</v>
      </c>
      <c r="P120" s="1" t="s">
        <v>149</v>
      </c>
      <c r="Q120" s="1"/>
      <c r="R120" s="1" t="s">
        <v>821</v>
      </c>
      <c r="S120" s="1"/>
      <c r="T120" s="1" t="s">
        <v>822</v>
      </c>
    </row>
    <row r="121" spans="1:20" ht="52" customHeight="1">
      <c r="A121" s="1" t="s">
        <v>823</v>
      </c>
      <c r="B121" s="1">
        <v>1</v>
      </c>
      <c r="C121" s="1" t="s">
        <v>632</v>
      </c>
      <c r="D121" s="1" t="s">
        <v>195</v>
      </c>
      <c r="E121" s="1" t="s">
        <v>632</v>
      </c>
      <c r="F121" s="1" t="s">
        <v>196</v>
      </c>
      <c r="G121" s="1" t="s">
        <v>824</v>
      </c>
      <c r="H121" s="1" t="s">
        <v>699</v>
      </c>
      <c r="I121" s="1" t="s">
        <v>825</v>
      </c>
      <c r="J121" s="1" t="s">
        <v>183</v>
      </c>
      <c r="K121" s="1" t="s">
        <v>114</v>
      </c>
      <c r="L121" s="1" t="s">
        <v>115</v>
      </c>
      <c r="M121" s="1"/>
      <c r="N121" s="1" t="s">
        <v>201</v>
      </c>
      <c r="O121" s="1" t="s">
        <v>826</v>
      </c>
      <c r="P121" s="1" t="s">
        <v>640</v>
      </c>
      <c r="Q121" s="1"/>
      <c r="R121" s="1" t="s">
        <v>697</v>
      </c>
      <c r="S121" s="1"/>
      <c r="T121" s="1" t="s">
        <v>827</v>
      </c>
    </row>
    <row r="122" spans="1:20" ht="52" customHeight="1">
      <c r="A122" s="1" t="s">
        <v>707</v>
      </c>
      <c r="B122" s="1">
        <v>1</v>
      </c>
      <c r="C122" s="1" t="s">
        <v>632</v>
      </c>
      <c r="D122" s="1" t="s">
        <v>702</v>
      </c>
      <c r="E122" s="1" t="s">
        <v>632</v>
      </c>
      <c r="F122" s="1" t="s">
        <v>196</v>
      </c>
      <c r="G122" s="1" t="s">
        <v>828</v>
      </c>
      <c r="H122" s="1" t="s">
        <v>699</v>
      </c>
      <c r="I122" s="1" t="s">
        <v>829</v>
      </c>
      <c r="J122" s="1" t="s">
        <v>199</v>
      </c>
      <c r="K122" s="1" t="s">
        <v>200</v>
      </c>
      <c r="L122" s="1" t="s">
        <v>115</v>
      </c>
      <c r="M122" s="1"/>
      <c r="N122" s="1" t="s">
        <v>201</v>
      </c>
      <c r="O122" s="1" t="s">
        <v>830</v>
      </c>
      <c r="P122" s="1" t="s">
        <v>706</v>
      </c>
      <c r="Q122" s="1"/>
      <c r="R122" s="1" t="s">
        <v>697</v>
      </c>
      <c r="S122" s="1"/>
      <c r="T122" s="1" t="s">
        <v>831</v>
      </c>
    </row>
    <row r="123" spans="1:20" ht="52" customHeight="1">
      <c r="A123" s="1" t="s">
        <v>712</v>
      </c>
      <c r="B123" s="1">
        <v>1</v>
      </c>
      <c r="C123" s="1" t="s">
        <v>632</v>
      </c>
      <c r="D123" s="1" t="s">
        <v>678</v>
      </c>
      <c r="E123" s="1" t="s">
        <v>632</v>
      </c>
      <c r="F123" s="1" t="s">
        <v>196</v>
      </c>
      <c r="G123" s="1" t="s">
        <v>832</v>
      </c>
      <c r="H123" s="1" t="s">
        <v>681</v>
      </c>
      <c r="I123" s="1" t="s">
        <v>833</v>
      </c>
      <c r="J123" s="1" t="s">
        <v>199</v>
      </c>
      <c r="K123" s="1" t="s">
        <v>200</v>
      </c>
      <c r="L123" s="1" t="s">
        <v>115</v>
      </c>
      <c r="M123" s="1"/>
      <c r="N123" s="1" t="s">
        <v>201</v>
      </c>
      <c r="O123" s="1" t="s">
        <v>834</v>
      </c>
      <c r="P123" s="1"/>
      <c r="Q123" s="1"/>
      <c r="R123" s="1"/>
      <c r="S123" s="1"/>
      <c r="T123" s="1" t="s">
        <v>835</v>
      </c>
    </row>
    <row r="124" spans="1:20" ht="52" customHeight="1">
      <c r="A124" s="1" t="s">
        <v>836</v>
      </c>
      <c r="B124" s="1">
        <v>1</v>
      </c>
      <c r="C124" s="1" t="s">
        <v>632</v>
      </c>
      <c r="D124" s="1" t="s">
        <v>195</v>
      </c>
      <c r="E124" s="1" t="s">
        <v>632</v>
      </c>
      <c r="F124" s="1" t="s">
        <v>196</v>
      </c>
      <c r="G124" s="1" t="s">
        <v>715</v>
      </c>
      <c r="H124" s="1" t="s">
        <v>716</v>
      </c>
      <c r="I124" s="1" t="s">
        <v>837</v>
      </c>
      <c r="J124" s="1" t="s">
        <v>183</v>
      </c>
      <c r="K124" s="1" t="s">
        <v>114</v>
      </c>
      <c r="L124" s="1" t="s">
        <v>174</v>
      </c>
      <c r="M124" s="1"/>
      <c r="N124" s="1" t="s">
        <v>201</v>
      </c>
      <c r="O124" s="1" t="s">
        <v>838</v>
      </c>
      <c r="P124" s="1" t="s">
        <v>718</v>
      </c>
      <c r="Q124" s="1"/>
      <c r="R124" s="1" t="s">
        <v>714</v>
      </c>
      <c r="S124" s="1"/>
      <c r="T124" s="1" t="s">
        <v>839</v>
      </c>
    </row>
    <row r="125" spans="1:20" ht="52" customHeight="1">
      <c r="A125" s="1" t="s">
        <v>723</v>
      </c>
      <c r="B125" s="1">
        <v>1</v>
      </c>
      <c r="C125" s="1" t="s">
        <v>632</v>
      </c>
      <c r="D125" s="1" t="s">
        <v>702</v>
      </c>
      <c r="E125" s="1" t="s">
        <v>632</v>
      </c>
      <c r="F125" s="1" t="s">
        <v>196</v>
      </c>
      <c r="G125" s="1" t="s">
        <v>840</v>
      </c>
      <c r="H125" s="1" t="s">
        <v>716</v>
      </c>
      <c r="I125" s="1" t="s">
        <v>841</v>
      </c>
      <c r="J125" s="1" t="s">
        <v>199</v>
      </c>
      <c r="K125" s="1" t="s">
        <v>200</v>
      </c>
      <c r="L125" s="1" t="s">
        <v>174</v>
      </c>
      <c r="M125" s="1"/>
      <c r="N125" s="1" t="s">
        <v>201</v>
      </c>
      <c r="O125" s="1" t="s">
        <v>842</v>
      </c>
      <c r="P125" s="1" t="s">
        <v>718</v>
      </c>
      <c r="Q125" s="1"/>
      <c r="R125" s="1" t="s">
        <v>714</v>
      </c>
      <c r="S125" s="1"/>
      <c r="T125" s="1" t="s">
        <v>843</v>
      </c>
    </row>
    <row r="126" spans="1:20" ht="52" customHeight="1">
      <c r="A126" s="1" t="s">
        <v>732</v>
      </c>
      <c r="B126" s="1">
        <v>1</v>
      </c>
      <c r="C126" s="1" t="s">
        <v>632</v>
      </c>
      <c r="D126" s="1" t="s">
        <v>726</v>
      </c>
      <c r="E126" s="1" t="s">
        <v>632</v>
      </c>
      <c r="F126" s="1" t="s">
        <v>196</v>
      </c>
      <c r="G126" s="1" t="s">
        <v>844</v>
      </c>
      <c r="H126" s="1" t="s">
        <v>728</v>
      </c>
      <c r="I126" s="1" t="s">
        <v>845</v>
      </c>
      <c r="J126" s="1" t="s">
        <v>199</v>
      </c>
      <c r="K126" s="1" t="s">
        <v>200</v>
      </c>
      <c r="L126" s="1" t="s">
        <v>174</v>
      </c>
      <c r="M126" s="1"/>
      <c r="N126" s="1" t="s">
        <v>201</v>
      </c>
      <c r="O126" s="1" t="s">
        <v>846</v>
      </c>
      <c r="P126" s="1" t="s">
        <v>731</v>
      </c>
      <c r="Q126" s="1"/>
      <c r="R126" s="1" t="s">
        <v>744</v>
      </c>
      <c r="S126" s="1"/>
      <c r="T126" s="1" t="s">
        <v>847</v>
      </c>
    </row>
    <row r="127" spans="1:20" ht="52" customHeight="1">
      <c r="A127" s="1" t="s">
        <v>739</v>
      </c>
      <c r="B127" s="1">
        <v>1</v>
      </c>
      <c r="C127" s="1" t="s">
        <v>632</v>
      </c>
      <c r="D127" s="1" t="s">
        <v>218</v>
      </c>
      <c r="E127" s="1" t="s">
        <v>632</v>
      </c>
      <c r="F127" s="1" t="s">
        <v>196</v>
      </c>
      <c r="G127" s="1" t="s">
        <v>735</v>
      </c>
      <c r="H127" s="1" t="s">
        <v>736</v>
      </c>
      <c r="I127" s="1" t="s">
        <v>848</v>
      </c>
      <c r="J127" s="1" t="s">
        <v>199</v>
      </c>
      <c r="K127" s="1" t="s">
        <v>200</v>
      </c>
      <c r="L127" s="1" t="s">
        <v>115</v>
      </c>
      <c r="M127" s="1"/>
      <c r="N127" s="1" t="s">
        <v>201</v>
      </c>
      <c r="O127" s="1" t="s">
        <v>613</v>
      </c>
      <c r="P127" s="1" t="s">
        <v>223</v>
      </c>
      <c r="Q127" s="1"/>
      <c r="R127" s="1"/>
      <c r="S127" s="1"/>
      <c r="T127" s="1" t="s">
        <v>849</v>
      </c>
    </row>
    <row r="128" spans="1:20" ht="52" customHeight="1">
      <c r="A128" s="1" t="s">
        <v>850</v>
      </c>
      <c r="B128" s="1">
        <v>1</v>
      </c>
      <c r="C128" s="1" t="s">
        <v>632</v>
      </c>
      <c r="D128" s="1" t="s">
        <v>772</v>
      </c>
      <c r="E128" s="1" t="s">
        <v>632</v>
      </c>
      <c r="F128" s="1" t="s">
        <v>196</v>
      </c>
      <c r="G128" s="1" t="s">
        <v>851</v>
      </c>
      <c r="H128" s="1" t="s">
        <v>775</v>
      </c>
      <c r="I128" s="1" t="s">
        <v>852</v>
      </c>
      <c r="J128" s="1" t="s">
        <v>199</v>
      </c>
      <c r="K128" s="1" t="s">
        <v>200</v>
      </c>
      <c r="L128" s="1" t="s">
        <v>115</v>
      </c>
      <c r="M128" s="1" t="s">
        <v>777</v>
      </c>
      <c r="N128" s="1" t="s">
        <v>201</v>
      </c>
      <c r="O128" s="1" t="s">
        <v>853</v>
      </c>
      <c r="P128" s="1" t="s">
        <v>223</v>
      </c>
      <c r="Q128" s="1"/>
      <c r="R128" s="1" t="s">
        <v>788</v>
      </c>
      <c r="S128" s="1"/>
      <c r="T128" s="1" t="s">
        <v>368</v>
      </c>
    </row>
    <row r="129" spans="1:20" ht="52" customHeight="1">
      <c r="A129" s="1" t="s">
        <v>854</v>
      </c>
      <c r="B129" s="1">
        <v>1</v>
      </c>
      <c r="C129" s="1" t="s">
        <v>632</v>
      </c>
      <c r="D129" s="1" t="s">
        <v>633</v>
      </c>
      <c r="E129" s="1" t="s">
        <v>632</v>
      </c>
      <c r="F129" s="1" t="s">
        <v>196</v>
      </c>
      <c r="G129" s="1" t="s">
        <v>855</v>
      </c>
      <c r="H129" s="1" t="s">
        <v>699</v>
      </c>
      <c r="I129" s="1" t="s">
        <v>856</v>
      </c>
      <c r="J129" s="1" t="s">
        <v>190</v>
      </c>
      <c r="K129" s="1" t="s">
        <v>191</v>
      </c>
      <c r="L129" s="1" t="s">
        <v>115</v>
      </c>
      <c r="M129" s="1"/>
      <c r="N129" s="1" t="s">
        <v>201</v>
      </c>
      <c r="O129" s="1" t="s">
        <v>857</v>
      </c>
      <c r="P129" s="1" t="s">
        <v>223</v>
      </c>
      <c r="Q129" s="1"/>
      <c r="R129" s="1" t="s">
        <v>858</v>
      </c>
      <c r="S129" s="1"/>
      <c r="T129" s="1" t="s">
        <v>859</v>
      </c>
    </row>
    <row r="130" spans="1:20" ht="52" customHeight="1">
      <c r="A130" s="1" t="s">
        <v>860</v>
      </c>
      <c r="B130" s="1">
        <v>1</v>
      </c>
      <c r="C130" s="1" t="s">
        <v>632</v>
      </c>
      <c r="D130" s="1" t="s">
        <v>764</v>
      </c>
      <c r="E130" s="1" t="s">
        <v>632</v>
      </c>
      <c r="F130" s="1" t="s">
        <v>196</v>
      </c>
      <c r="G130" s="1" t="s">
        <v>861</v>
      </c>
      <c r="H130" s="1" t="s">
        <v>681</v>
      </c>
      <c r="I130" s="1" t="s">
        <v>862</v>
      </c>
      <c r="J130" s="1" t="s">
        <v>190</v>
      </c>
      <c r="K130" s="1" t="s">
        <v>191</v>
      </c>
      <c r="L130" s="1" t="s">
        <v>115</v>
      </c>
      <c r="M130" s="1"/>
      <c r="N130" s="1" t="s">
        <v>201</v>
      </c>
      <c r="O130" s="1" t="s">
        <v>863</v>
      </c>
      <c r="P130" s="1" t="s">
        <v>223</v>
      </c>
      <c r="Q130" s="1"/>
      <c r="R130" s="1" t="s">
        <v>864</v>
      </c>
      <c r="S130" s="1"/>
      <c r="T130" s="1" t="s">
        <v>865</v>
      </c>
    </row>
    <row r="131" spans="1:20" ht="52" customHeight="1">
      <c r="A131" s="1" t="s">
        <v>866</v>
      </c>
      <c r="B131" s="1">
        <v>1</v>
      </c>
      <c r="C131" s="1" t="s">
        <v>632</v>
      </c>
      <c r="D131" s="1" t="s">
        <v>772</v>
      </c>
      <c r="E131" s="1" t="s">
        <v>632</v>
      </c>
      <c r="F131" s="1" t="s">
        <v>196</v>
      </c>
      <c r="G131" s="1" t="s">
        <v>867</v>
      </c>
      <c r="H131" s="1" t="s">
        <v>775</v>
      </c>
      <c r="I131" s="1" t="s">
        <v>862</v>
      </c>
      <c r="J131" s="1" t="s">
        <v>190</v>
      </c>
      <c r="K131" s="1" t="s">
        <v>191</v>
      </c>
      <c r="L131" s="1" t="s">
        <v>115</v>
      </c>
      <c r="M131" s="1"/>
      <c r="N131" s="1" t="s">
        <v>201</v>
      </c>
      <c r="O131" s="1" t="s">
        <v>868</v>
      </c>
      <c r="P131" s="1" t="s">
        <v>223</v>
      </c>
      <c r="Q131" s="1"/>
      <c r="R131" s="1" t="s">
        <v>869</v>
      </c>
      <c r="S131" s="1"/>
      <c r="T131" s="1" t="s">
        <v>870</v>
      </c>
    </row>
    <row r="132" spans="1:20" ht="52" customHeight="1">
      <c r="A132" s="1" t="s">
        <v>871</v>
      </c>
      <c r="B132" s="1">
        <v>1</v>
      </c>
      <c r="C132" s="1" t="s">
        <v>632</v>
      </c>
      <c r="D132" s="1" t="s">
        <v>633</v>
      </c>
      <c r="E132" s="1" t="s">
        <v>632</v>
      </c>
      <c r="F132" s="1" t="s">
        <v>634</v>
      </c>
      <c r="G132" s="1" t="s">
        <v>872</v>
      </c>
      <c r="H132" s="1" t="s">
        <v>699</v>
      </c>
      <c r="I132" s="1" t="s">
        <v>873</v>
      </c>
      <c r="J132" s="1" t="s">
        <v>199</v>
      </c>
      <c r="K132" s="1" t="s">
        <v>200</v>
      </c>
      <c r="L132" s="1" t="s">
        <v>115</v>
      </c>
      <c r="M132" s="1" t="s">
        <v>874</v>
      </c>
      <c r="N132" s="1" t="s">
        <v>201</v>
      </c>
      <c r="O132" s="1" t="s">
        <v>875</v>
      </c>
      <c r="P132" s="1" t="s">
        <v>640</v>
      </c>
      <c r="Q132" s="1"/>
      <c r="R132" s="1" t="s">
        <v>697</v>
      </c>
      <c r="S132" s="1"/>
      <c r="T132" s="1" t="s">
        <v>876</v>
      </c>
    </row>
    <row r="133" spans="1:20" ht="52" customHeight="1">
      <c r="A133" s="1" t="s">
        <v>877</v>
      </c>
      <c r="B133" s="1">
        <v>1</v>
      </c>
      <c r="C133" s="1" t="s">
        <v>632</v>
      </c>
      <c r="D133" s="1" t="s">
        <v>772</v>
      </c>
      <c r="E133" s="1" t="s">
        <v>632</v>
      </c>
      <c r="F133" s="1" t="s">
        <v>196</v>
      </c>
      <c r="G133" s="1" t="s">
        <v>878</v>
      </c>
      <c r="H133" s="1" t="s">
        <v>775</v>
      </c>
      <c r="I133" s="1" t="s">
        <v>879</v>
      </c>
      <c r="J133" s="1" t="s">
        <v>199</v>
      </c>
      <c r="K133" s="1" t="s">
        <v>200</v>
      </c>
      <c r="L133" s="1" t="s">
        <v>115</v>
      </c>
      <c r="M133" s="1" t="s">
        <v>880</v>
      </c>
      <c r="N133" s="1" t="s">
        <v>201</v>
      </c>
      <c r="O133" s="1" t="s">
        <v>881</v>
      </c>
      <c r="P133" s="1" t="s">
        <v>640</v>
      </c>
      <c r="Q133" s="1"/>
      <c r="R133" s="1" t="s">
        <v>697</v>
      </c>
      <c r="S133" s="1"/>
      <c r="T133" s="1" t="s">
        <v>882</v>
      </c>
    </row>
    <row r="134" spans="1:20" ht="52" customHeight="1">
      <c r="A134" s="1" t="s">
        <v>695</v>
      </c>
      <c r="B134" s="1">
        <v>1</v>
      </c>
      <c r="C134" s="1" t="s">
        <v>632</v>
      </c>
      <c r="D134" s="1" t="s">
        <v>678</v>
      </c>
      <c r="E134" s="1" t="s">
        <v>632</v>
      </c>
      <c r="F134" s="1" t="s">
        <v>679</v>
      </c>
      <c r="G134" s="1" t="s">
        <v>883</v>
      </c>
      <c r="H134" s="1" t="s">
        <v>681</v>
      </c>
      <c r="I134" s="1" t="s">
        <v>884</v>
      </c>
      <c r="J134" s="1" t="s">
        <v>190</v>
      </c>
      <c r="K134" s="1" t="s">
        <v>191</v>
      </c>
      <c r="L134" s="1" t="s">
        <v>115</v>
      </c>
      <c r="M134" s="1" t="s">
        <v>683</v>
      </c>
      <c r="N134" s="1" t="s">
        <v>201</v>
      </c>
      <c r="O134" s="1" t="s">
        <v>885</v>
      </c>
      <c r="P134" s="1" t="s">
        <v>149</v>
      </c>
      <c r="Q134" s="1"/>
      <c r="R134" s="1" t="s">
        <v>677</v>
      </c>
      <c r="S134" s="1"/>
      <c r="T134" s="1" t="s">
        <v>886</v>
      </c>
    </row>
    <row r="135" spans="1:20" ht="52" customHeight="1">
      <c r="A135" s="1" t="s">
        <v>648</v>
      </c>
      <c r="B135" s="1">
        <v>1</v>
      </c>
      <c r="C135" s="1" t="s">
        <v>632</v>
      </c>
      <c r="D135" s="1" t="s">
        <v>135</v>
      </c>
      <c r="E135" s="1" t="s">
        <v>632</v>
      </c>
      <c r="F135" s="1" t="s">
        <v>196</v>
      </c>
      <c r="G135" s="1" t="s">
        <v>887</v>
      </c>
      <c r="H135" s="1" t="s">
        <v>699</v>
      </c>
      <c r="I135" s="1" t="s">
        <v>403</v>
      </c>
      <c r="J135" s="1" t="s">
        <v>199</v>
      </c>
      <c r="K135" s="1" t="s">
        <v>200</v>
      </c>
      <c r="L135" s="1" t="s">
        <v>174</v>
      </c>
      <c r="M135" s="1"/>
      <c r="N135" s="1" t="s">
        <v>201</v>
      </c>
      <c r="O135" s="1" t="s">
        <v>404</v>
      </c>
      <c r="P135" s="1" t="s">
        <v>139</v>
      </c>
      <c r="Q135" s="1"/>
      <c r="R135" s="1"/>
      <c r="S135" s="1"/>
      <c r="T135" s="1" t="s">
        <v>405</v>
      </c>
    </row>
    <row r="136" spans="1:20" ht="52" customHeight="1">
      <c r="A136" s="1" t="s">
        <v>888</v>
      </c>
      <c r="B136" s="1">
        <v>1</v>
      </c>
      <c r="C136" s="1" t="s">
        <v>889</v>
      </c>
      <c r="D136" s="1" t="s">
        <v>890</v>
      </c>
      <c r="E136" s="1" t="s">
        <v>889</v>
      </c>
      <c r="F136" s="1" t="s">
        <v>196</v>
      </c>
      <c r="G136" s="1" t="s">
        <v>891</v>
      </c>
      <c r="H136" s="1" t="s">
        <v>892</v>
      </c>
      <c r="I136" s="1" t="s">
        <v>893</v>
      </c>
      <c r="J136" s="1" t="s">
        <v>199</v>
      </c>
      <c r="K136" s="1" t="s">
        <v>200</v>
      </c>
      <c r="L136" s="1" t="s">
        <v>115</v>
      </c>
      <c r="M136" s="1"/>
      <c r="N136" s="1" t="s">
        <v>201</v>
      </c>
      <c r="O136" s="1" t="s">
        <v>894</v>
      </c>
      <c r="P136" s="1" t="s">
        <v>895</v>
      </c>
      <c r="Q136" s="1"/>
      <c r="R136" s="1"/>
      <c r="S136" s="1"/>
      <c r="T136" s="1" t="s">
        <v>204</v>
      </c>
    </row>
    <row r="137" spans="1:20" ht="52" customHeight="1">
      <c r="A137" s="1" t="s">
        <v>896</v>
      </c>
      <c r="B137" s="1">
        <v>1</v>
      </c>
      <c r="C137" s="1" t="s">
        <v>889</v>
      </c>
      <c r="D137" s="1" t="s">
        <v>890</v>
      </c>
      <c r="E137" s="1" t="s">
        <v>889</v>
      </c>
      <c r="F137" s="1" t="s">
        <v>196</v>
      </c>
      <c r="G137" s="1" t="s">
        <v>891</v>
      </c>
      <c r="H137" s="1" t="s">
        <v>892</v>
      </c>
      <c r="I137" s="1" t="s">
        <v>897</v>
      </c>
      <c r="J137" s="1" t="s">
        <v>183</v>
      </c>
      <c r="K137" s="1" t="s">
        <v>114</v>
      </c>
      <c r="L137" s="1" t="s">
        <v>115</v>
      </c>
      <c r="M137" s="1"/>
      <c r="N137" s="1" t="s">
        <v>201</v>
      </c>
      <c r="O137" s="1" t="s">
        <v>898</v>
      </c>
      <c r="P137" s="1" t="s">
        <v>895</v>
      </c>
      <c r="Q137" s="1"/>
      <c r="R137" s="1" t="s">
        <v>888</v>
      </c>
      <c r="S137" s="1"/>
      <c r="T137" s="1" t="s">
        <v>899</v>
      </c>
    </row>
    <row r="138" spans="1:20" ht="52" customHeight="1">
      <c r="A138" s="1" t="s">
        <v>900</v>
      </c>
      <c r="B138" s="1">
        <v>1</v>
      </c>
      <c r="C138" s="1" t="s">
        <v>901</v>
      </c>
      <c r="D138" s="1" t="s">
        <v>902</v>
      </c>
      <c r="E138" s="1" t="s">
        <v>903</v>
      </c>
      <c r="F138" s="1" t="s">
        <v>904</v>
      </c>
      <c r="G138" s="1" t="s">
        <v>905</v>
      </c>
      <c r="H138" s="1" t="s">
        <v>906</v>
      </c>
      <c r="I138" s="1" t="s">
        <v>907</v>
      </c>
      <c r="J138" s="1" t="s">
        <v>199</v>
      </c>
      <c r="K138" s="1" t="s">
        <v>200</v>
      </c>
      <c r="L138" s="1" t="s">
        <v>115</v>
      </c>
      <c r="M138" s="1"/>
      <c r="N138" s="1" t="s">
        <v>201</v>
      </c>
      <c r="O138" s="1" t="s">
        <v>908</v>
      </c>
      <c r="P138" s="1" t="s">
        <v>223</v>
      </c>
      <c r="Q138" s="1"/>
      <c r="R138" s="1"/>
      <c r="S138" s="1"/>
      <c r="T138" s="1" t="s">
        <v>909</v>
      </c>
    </row>
    <row r="139" spans="1:20" ht="52" customHeight="1">
      <c r="A139" s="1" t="s">
        <v>910</v>
      </c>
      <c r="B139" s="1">
        <v>1</v>
      </c>
      <c r="C139" s="1" t="s">
        <v>901</v>
      </c>
      <c r="D139" s="1" t="s">
        <v>902</v>
      </c>
      <c r="E139" s="1" t="s">
        <v>903</v>
      </c>
      <c r="F139" s="1" t="s">
        <v>904</v>
      </c>
      <c r="G139" s="1" t="s">
        <v>905</v>
      </c>
      <c r="H139" s="1" t="s">
        <v>906</v>
      </c>
      <c r="I139" s="1" t="s">
        <v>911</v>
      </c>
      <c r="J139" s="1" t="s">
        <v>146</v>
      </c>
      <c r="K139" s="1" t="s">
        <v>114</v>
      </c>
      <c r="L139" s="1" t="s">
        <v>115</v>
      </c>
      <c r="M139" s="1"/>
      <c r="N139" s="1" t="s">
        <v>201</v>
      </c>
      <c r="O139" s="1" t="s">
        <v>912</v>
      </c>
      <c r="P139" s="1" t="s">
        <v>149</v>
      </c>
      <c r="Q139" s="1"/>
      <c r="R139" s="1" t="s">
        <v>913</v>
      </c>
      <c r="S139" s="1"/>
      <c r="T139" s="1" t="s">
        <v>914</v>
      </c>
    </row>
    <row r="140" spans="1:20" ht="52" customHeight="1">
      <c r="A140" s="1" t="s">
        <v>915</v>
      </c>
      <c r="B140" s="1">
        <v>1</v>
      </c>
      <c r="C140" s="1" t="s">
        <v>901</v>
      </c>
      <c r="D140" s="1" t="s">
        <v>902</v>
      </c>
      <c r="E140" s="1" t="s">
        <v>903</v>
      </c>
      <c r="F140" s="1" t="s">
        <v>904</v>
      </c>
      <c r="G140" s="1" t="s">
        <v>905</v>
      </c>
      <c r="H140" s="1" t="s">
        <v>906</v>
      </c>
      <c r="I140" s="1" t="s">
        <v>916</v>
      </c>
      <c r="J140" s="1" t="s">
        <v>399</v>
      </c>
      <c r="K140" s="1" t="s">
        <v>191</v>
      </c>
      <c r="L140" s="1" t="s">
        <v>115</v>
      </c>
      <c r="M140" s="1"/>
      <c r="N140" s="1" t="s">
        <v>201</v>
      </c>
      <c r="O140" s="1" t="s">
        <v>917</v>
      </c>
      <c r="P140" s="1" t="s">
        <v>918</v>
      </c>
      <c r="Q140" s="1"/>
      <c r="R140" s="1" t="s">
        <v>919</v>
      </c>
      <c r="S140" s="1"/>
      <c r="T140" s="1" t="s">
        <v>920</v>
      </c>
    </row>
  </sheetData>
  <phoneticPr fontId="9" type="noConversion"/>
  <conditionalFormatting sqref="A2:T114">
    <cfRule type="expression" dxfId="48" priority="2">
      <formula>$C2="MOB"</formula>
    </cfRule>
    <cfRule type="expression" dxfId="47" priority="3">
      <formula>$C2="FUG"</formula>
    </cfRule>
    <cfRule type="expression" dxfId="46" priority="4">
      <formula>$C2="PRC"</formula>
    </cfRule>
    <cfRule type="expression" dxfId="45" priority="1">
      <formula>$C2="STC"</formula>
    </cfRule>
  </conditionalFormatting>
  <conditionalFormatting sqref="A2:T116">
    <cfRule type="expression" dxfId="44" priority="10">
      <formula>$C2="MOB"</formula>
    </cfRule>
    <cfRule type="expression" dxfId="43" priority="13">
      <formula>$C2="OUT"</formula>
    </cfRule>
    <cfRule type="expression" dxfId="42" priority="12">
      <formula>$C2="PRC"</formula>
    </cfRule>
    <cfRule type="expression" dxfId="41" priority="11">
      <formula>$C2="FUG"</formula>
    </cfRule>
    <cfRule type="expression" dxfId="40" priority="9">
      <formula>$C2="STC"</formula>
    </cfRule>
  </conditionalFormatting>
  <conditionalFormatting sqref="A2:T118">
    <cfRule type="expression" dxfId="39" priority="17">
      <formula>$C2="PRC"</formula>
    </cfRule>
    <cfRule type="expression" dxfId="38" priority="14">
      <formula>$C2="STC"</formula>
    </cfRule>
    <cfRule type="expression" dxfId="37" priority="15">
      <formula>$C2="MOB"</formula>
    </cfRule>
    <cfRule type="expression" dxfId="36" priority="16">
      <formula>$C2="FUG"</formula>
    </cfRule>
    <cfRule type="expression" dxfId="35" priority="18">
      <formula>$C2="OUT"</formula>
    </cfRule>
  </conditionalFormatting>
  <conditionalFormatting sqref="A2:T124">
    <cfRule type="expression" dxfId="34" priority="19">
      <formula>$C2="STC"</formula>
    </cfRule>
    <cfRule type="expression" dxfId="33" priority="20">
      <formula>$C2="MOB"</formula>
    </cfRule>
    <cfRule type="expression" dxfId="32" priority="21">
      <formula>$C2="FUG"</formula>
    </cfRule>
    <cfRule type="expression" dxfId="31" priority="22">
      <formula>$C2="PRC"</formula>
    </cfRule>
    <cfRule type="expression" dxfId="30" priority="23">
      <formula>$C2="OUT"</formula>
    </cfRule>
  </conditionalFormatting>
  <conditionalFormatting sqref="A2:T137">
    <cfRule type="expression" dxfId="29" priority="24">
      <formula>$C2="STC"</formula>
    </cfRule>
    <cfRule type="expression" dxfId="28" priority="25">
      <formula>$C2="MOB"</formula>
    </cfRule>
    <cfRule type="expression" dxfId="27" priority="26">
      <formula>$C2="FUG"</formula>
    </cfRule>
    <cfRule type="expression" dxfId="26" priority="27">
      <formula>$C2="PRC"</formula>
    </cfRule>
    <cfRule type="expression" dxfId="25" priority="28">
      <formula>$C2="OUT"</formula>
    </cfRule>
  </conditionalFormatting>
  <conditionalFormatting sqref="A2:T140">
    <cfRule type="expression" dxfId="24" priority="29">
      <formula>$C2="STC"</formula>
    </cfRule>
    <cfRule type="expression" dxfId="23" priority="30">
      <formula>$C2="MOB"</formula>
    </cfRule>
    <cfRule type="expression" dxfId="22" priority="31">
      <formula>$C2="FUG"</formula>
    </cfRule>
    <cfRule type="expression" dxfId="21" priority="32">
      <formula>$C2="PRC"</formula>
    </cfRule>
    <cfRule type="expression" dxfId="20" priority="33">
      <formula>$C2="OUT"</formula>
    </cfRule>
  </conditionalFormatting>
  <conditionalFormatting sqref="K2:K114">
    <cfRule type="expression" dxfId="19" priority="6">
      <formula>$K2="verifier_determined"</formula>
    </cfRule>
    <cfRule type="expression" dxfId="18" priority="5">
      <formula>$K2="computed"</formula>
    </cfRule>
  </conditionalFormatting>
  <conditionalFormatting sqref="M2:M114">
    <cfRule type="expression" dxfId="17" priority="7">
      <formula>$M2&lt;&gt;""</formula>
    </cfRule>
  </conditionalFormatting>
  <conditionalFormatting sqref="Q2:Q114">
    <cfRule type="expression" dxfId="16" priority="8">
      <formula>AND($N2="normative",$Q2="")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xr:uid="{00000000-0002-0000-0100-000000000000}">
          <x14:formula1>
            <xm:f>'4_Vocab'!$A$2:$A$5</xm:f>
          </x14:formula1>
          <xm:sqref>C2:C114</xm:sqref>
        </x14:dataValidation>
        <x14:dataValidation type="list" xr:uid="{00000000-0002-0000-0100-000001000000}">
          <x14:formula1>
            <xm:f>'4_Vocab'!$D$2:$D$22</xm:f>
          </x14:formula1>
          <xm:sqref>D2:D114</xm:sqref>
        </x14:dataValidation>
        <x14:dataValidation type="list" xr:uid="{00000000-0002-0000-0100-000002000000}">
          <x14:formula1>
            <xm:f>'4_Vocab'!$G$2:$G$15</xm:f>
          </x14:formula1>
          <xm:sqref>F2:F114</xm:sqref>
        </x14:dataValidation>
        <x14:dataValidation type="list" xr:uid="{00000000-0002-0000-0100-000003000000}">
          <x14:formula1>
            <xm:f>'4_Vocab'!$J$2:$J$12</xm:f>
          </x14:formula1>
          <xm:sqref>J2:J140</xm:sqref>
        </x14:dataValidation>
        <x14:dataValidation type="list" xr:uid="{00000000-0002-0000-0100-000004000000}">
          <x14:formula1>
            <xm:f>'4_Vocab'!$M$2:$M$5</xm:f>
          </x14:formula1>
          <xm:sqref>K2:K140</xm:sqref>
        </x14:dataValidation>
        <x14:dataValidation type="list" xr:uid="{00000000-0002-0000-0100-000005000000}">
          <x14:formula1>
            <xm:f>'4_Vocab'!$P$2:$P$5</xm:f>
          </x14:formula1>
          <xm:sqref>L2:L140</xm:sqref>
        </x14:dataValidation>
        <x14:dataValidation type="list" xr:uid="{00000000-0002-0000-0100-000006000000}">
          <x14:formula1>
            <xm:f>'4_Vocab'!$S$2:$S$3</xm:f>
          </x14:formula1>
          <xm:sqref>N2:N140</xm:sqref>
        </x14:dataValidation>
        <x14:dataValidation type="list" xr:uid="{00000000-0002-0000-0100-000007000000}">
          <x14:formula1>
            <xm:f>'4_Vocab'!$Y$2:$Y$25</xm:f>
          </x14:formula1>
          <xm:sqref>P2:P114</xm:sqref>
        </x14:dataValidation>
        <x14:dataValidation type="list" xr:uid="{00000000-0002-0000-0100-000008000000}">
          <x14:formula1>
            <xm:f>'4_Vocab'!$A$2:$A$6</xm:f>
          </x14:formula1>
          <xm:sqref>C2:C140</xm:sqref>
        </x14:dataValidation>
        <x14:dataValidation type="list" xr:uid="{00000000-0002-0000-0100-000009000000}">
          <x14:formula1>
            <xm:f>'4_Vocab'!$D$2:$D$23</xm:f>
          </x14:formula1>
          <xm:sqref>D2:D124</xm:sqref>
        </x14:dataValidation>
        <x14:dataValidation type="list" xr:uid="{00000000-0002-0000-0100-00000A000000}">
          <x14:formula1>
            <xm:f>'4_Vocab'!$G$2:$G$16</xm:f>
          </x14:formula1>
          <xm:sqref>F2:F140</xm:sqref>
        </x14:dataValidation>
        <x14:dataValidation type="list" xr:uid="{00000000-0002-0000-0100-000012000000}">
          <x14:formula1>
            <xm:f>'4_Vocab'!$D$2:$D$24</xm:f>
          </x14:formula1>
          <xm:sqref>D2:D140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9"/>
  <sheetViews>
    <sheetView workbookViewId="0"/>
  </sheetViews>
  <sheetFormatPr baseColWidth="10" defaultColWidth="8.83203125" defaultRowHeight="14"/>
  <cols>
    <col min="1" max="1" width="16" customWidth="1"/>
    <col min="2" max="2" width="18" customWidth="1"/>
    <col min="3" max="3" width="48" customWidth="1"/>
    <col min="4" max="4" width="15" customWidth="1"/>
    <col min="5" max="5" width="32" customWidth="1"/>
    <col min="6" max="6" width="66" customWidth="1"/>
    <col min="7" max="7" width="20" customWidth="1"/>
    <col min="8" max="8" width="17" customWidth="1"/>
    <col min="9" max="9" width="52" customWidth="1"/>
    <col min="10" max="10" width="18" customWidth="1"/>
    <col min="11" max="11" width="44" customWidth="1"/>
    <col min="12" max="12" width="22" customWidth="1"/>
    <col min="13" max="13" width="74" customWidth="1"/>
  </cols>
  <sheetData>
    <row r="1" spans="1:13" ht="29.5" customHeight="1">
      <c r="A1" s="6" t="s">
        <v>921</v>
      </c>
      <c r="B1" s="6" t="s">
        <v>922</v>
      </c>
      <c r="C1" s="6" t="s">
        <v>923</v>
      </c>
      <c r="D1" s="6" t="s">
        <v>924</v>
      </c>
      <c r="E1" s="6" t="s">
        <v>925</v>
      </c>
      <c r="F1" s="6" t="s">
        <v>69</v>
      </c>
      <c r="G1" s="6" t="s">
        <v>926</v>
      </c>
      <c r="H1" s="6" t="s">
        <v>927</v>
      </c>
      <c r="I1" s="6" t="s">
        <v>928</v>
      </c>
      <c r="J1" s="6" t="s">
        <v>929</v>
      </c>
      <c r="K1" s="6" t="s">
        <v>930</v>
      </c>
      <c r="L1" s="6" t="s">
        <v>931</v>
      </c>
      <c r="M1" s="6" t="s">
        <v>932</v>
      </c>
    </row>
    <row r="2" spans="1:13" ht="50.75" customHeight="1">
      <c r="A2" s="1" t="s">
        <v>933</v>
      </c>
      <c r="B2" s="1" t="s">
        <v>194</v>
      </c>
      <c r="C2" s="1" t="s">
        <v>934</v>
      </c>
      <c r="D2" s="1" t="s">
        <v>935</v>
      </c>
      <c r="E2" s="1" t="s">
        <v>936</v>
      </c>
      <c r="F2" s="1"/>
      <c r="G2" s="1" t="s">
        <v>937</v>
      </c>
      <c r="H2" s="1" t="s">
        <v>938</v>
      </c>
      <c r="I2" s="1" t="s">
        <v>934</v>
      </c>
      <c r="J2" s="1" t="s">
        <v>939</v>
      </c>
      <c r="K2" s="1" t="s">
        <v>940</v>
      </c>
      <c r="L2" s="1" t="s">
        <v>941</v>
      </c>
      <c r="M2" s="1" t="s">
        <v>942</v>
      </c>
    </row>
    <row r="3" spans="1:13" ht="50.75" customHeight="1">
      <c r="A3" s="1" t="s">
        <v>943</v>
      </c>
      <c r="B3" s="1" t="s">
        <v>343</v>
      </c>
      <c r="C3" s="1" t="s">
        <v>934</v>
      </c>
      <c r="D3" s="1" t="s">
        <v>935</v>
      </c>
      <c r="E3" s="1" t="s">
        <v>936</v>
      </c>
      <c r="F3" s="1"/>
      <c r="G3" s="1" t="s">
        <v>937</v>
      </c>
      <c r="H3" s="1" t="s">
        <v>938</v>
      </c>
      <c r="I3" s="1" t="s">
        <v>934</v>
      </c>
      <c r="J3" s="1" t="s">
        <v>939</v>
      </c>
      <c r="K3" s="1" t="s">
        <v>940</v>
      </c>
      <c r="L3" s="1" t="s">
        <v>941</v>
      </c>
      <c r="M3" s="1" t="s">
        <v>942</v>
      </c>
    </row>
    <row r="4" spans="1:13" ht="50.75" customHeight="1">
      <c r="A4" s="1" t="s">
        <v>944</v>
      </c>
      <c r="B4" s="1" t="s">
        <v>177</v>
      </c>
      <c r="C4" s="1" t="s">
        <v>934</v>
      </c>
      <c r="D4" s="1" t="s">
        <v>935</v>
      </c>
      <c r="E4" s="1" t="s">
        <v>936</v>
      </c>
      <c r="F4" s="1"/>
      <c r="G4" s="1" t="s">
        <v>937</v>
      </c>
      <c r="H4" s="1" t="s">
        <v>938</v>
      </c>
      <c r="I4" s="1" t="s">
        <v>934</v>
      </c>
      <c r="J4" s="1" t="s">
        <v>939</v>
      </c>
      <c r="K4" s="1" t="s">
        <v>940</v>
      </c>
      <c r="L4" s="1" t="s">
        <v>941</v>
      </c>
      <c r="M4" s="1" t="s">
        <v>942</v>
      </c>
    </row>
    <row r="5" spans="1:13" ht="50.75" customHeight="1">
      <c r="A5" s="1" t="s">
        <v>945</v>
      </c>
      <c r="B5" s="1" t="s">
        <v>215</v>
      </c>
      <c r="C5" s="1" t="s">
        <v>934</v>
      </c>
      <c r="D5" s="1" t="s">
        <v>935</v>
      </c>
      <c r="E5" s="1" t="s">
        <v>936</v>
      </c>
      <c r="F5" s="1"/>
      <c r="G5" s="1" t="s">
        <v>937</v>
      </c>
      <c r="H5" s="1" t="s">
        <v>938</v>
      </c>
      <c r="I5" s="1" t="s">
        <v>934</v>
      </c>
      <c r="J5" s="1" t="s">
        <v>939</v>
      </c>
      <c r="K5" s="1" t="s">
        <v>940</v>
      </c>
      <c r="L5" s="1" t="s">
        <v>941</v>
      </c>
      <c r="M5" s="1" t="s">
        <v>942</v>
      </c>
    </row>
    <row r="6" spans="1:13" ht="50.75" customHeight="1">
      <c r="A6" s="1" t="s">
        <v>946</v>
      </c>
      <c r="B6" s="1" t="s">
        <v>224</v>
      </c>
      <c r="C6" s="1" t="s">
        <v>934</v>
      </c>
      <c r="D6" s="1" t="s">
        <v>935</v>
      </c>
      <c r="E6" s="1" t="s">
        <v>936</v>
      </c>
      <c r="F6" s="1"/>
      <c r="G6" s="1" t="s">
        <v>937</v>
      </c>
      <c r="H6" s="1" t="s">
        <v>938</v>
      </c>
      <c r="I6" s="1" t="s">
        <v>934</v>
      </c>
      <c r="J6" s="1" t="s">
        <v>939</v>
      </c>
      <c r="K6" s="1" t="s">
        <v>940</v>
      </c>
      <c r="L6" s="1" t="s">
        <v>941</v>
      </c>
      <c r="M6" s="1" t="s">
        <v>942</v>
      </c>
    </row>
    <row r="7" spans="1:13" ht="50.75" customHeight="1">
      <c r="A7" s="1" t="s">
        <v>947</v>
      </c>
      <c r="B7" s="1" t="s">
        <v>466</v>
      </c>
      <c r="C7" s="1" t="s">
        <v>934</v>
      </c>
      <c r="D7" s="1" t="s">
        <v>935</v>
      </c>
      <c r="E7" s="1" t="s">
        <v>936</v>
      </c>
      <c r="F7" s="1"/>
      <c r="G7" s="1" t="s">
        <v>937</v>
      </c>
      <c r="H7" s="1" t="s">
        <v>938</v>
      </c>
      <c r="I7" s="1" t="s">
        <v>934</v>
      </c>
      <c r="J7" s="1" t="s">
        <v>939</v>
      </c>
      <c r="K7" s="1" t="s">
        <v>940</v>
      </c>
      <c r="L7" s="1" t="s">
        <v>941</v>
      </c>
      <c r="M7" s="1" t="s">
        <v>942</v>
      </c>
    </row>
    <row r="8" spans="1:13" ht="50.75" customHeight="1">
      <c r="A8" s="1" t="s">
        <v>948</v>
      </c>
      <c r="B8" s="1" t="s">
        <v>476</v>
      </c>
      <c r="C8" s="1" t="s">
        <v>934</v>
      </c>
      <c r="D8" s="1" t="s">
        <v>935</v>
      </c>
      <c r="E8" s="1" t="s">
        <v>936</v>
      </c>
      <c r="F8" s="1"/>
      <c r="G8" s="1" t="s">
        <v>937</v>
      </c>
      <c r="H8" s="1" t="s">
        <v>938</v>
      </c>
      <c r="I8" s="1" t="s">
        <v>934</v>
      </c>
      <c r="J8" s="1" t="s">
        <v>939</v>
      </c>
      <c r="K8" s="1" t="s">
        <v>940</v>
      </c>
      <c r="L8" s="1" t="s">
        <v>941</v>
      </c>
      <c r="M8" s="1" t="s">
        <v>942</v>
      </c>
    </row>
    <row r="9" spans="1:13" ht="50.75" customHeight="1">
      <c r="A9" s="1" t="s">
        <v>949</v>
      </c>
      <c r="B9" s="1" t="s">
        <v>482</v>
      </c>
      <c r="C9" s="1" t="s">
        <v>934</v>
      </c>
      <c r="D9" s="1" t="s">
        <v>935</v>
      </c>
      <c r="E9" s="1" t="s">
        <v>936</v>
      </c>
      <c r="F9" s="1"/>
      <c r="G9" s="1" t="s">
        <v>937</v>
      </c>
      <c r="H9" s="1" t="s">
        <v>938</v>
      </c>
      <c r="I9" s="1" t="s">
        <v>934</v>
      </c>
      <c r="J9" s="1" t="s">
        <v>939</v>
      </c>
      <c r="K9" s="1" t="s">
        <v>940</v>
      </c>
      <c r="L9" s="1" t="s">
        <v>941</v>
      </c>
      <c r="M9" s="1" t="s">
        <v>942</v>
      </c>
    </row>
    <row r="10" spans="1:13" ht="50.75" customHeight="1">
      <c r="A10" s="1" t="s">
        <v>950</v>
      </c>
      <c r="B10" s="1" t="s">
        <v>488</v>
      </c>
      <c r="C10" s="1" t="s">
        <v>934</v>
      </c>
      <c r="D10" s="1" t="s">
        <v>935</v>
      </c>
      <c r="E10" s="1" t="s">
        <v>936</v>
      </c>
      <c r="F10" s="1"/>
      <c r="G10" s="1" t="s">
        <v>937</v>
      </c>
      <c r="H10" s="1" t="s">
        <v>938</v>
      </c>
      <c r="I10" s="1" t="s">
        <v>934</v>
      </c>
      <c r="J10" s="1" t="s">
        <v>939</v>
      </c>
      <c r="K10" s="1" t="s">
        <v>940</v>
      </c>
      <c r="L10" s="1" t="s">
        <v>941</v>
      </c>
      <c r="M10" s="1" t="s">
        <v>942</v>
      </c>
    </row>
    <row r="11" spans="1:13" ht="50.75" customHeight="1">
      <c r="A11" s="1" t="s">
        <v>951</v>
      </c>
      <c r="B11" s="1" t="s">
        <v>697</v>
      </c>
      <c r="C11" s="1" t="s">
        <v>934</v>
      </c>
      <c r="D11" s="1" t="s">
        <v>935</v>
      </c>
      <c r="E11" s="1" t="s">
        <v>936</v>
      </c>
      <c r="F11" s="1"/>
      <c r="G11" s="1" t="s">
        <v>937</v>
      </c>
      <c r="H11" s="1" t="s">
        <v>938</v>
      </c>
      <c r="I11" s="1" t="s">
        <v>934</v>
      </c>
      <c r="J11" s="1" t="s">
        <v>939</v>
      </c>
      <c r="K11" s="1" t="s">
        <v>940</v>
      </c>
      <c r="L11" s="1" t="s">
        <v>941</v>
      </c>
      <c r="M11" s="1" t="s">
        <v>942</v>
      </c>
    </row>
    <row r="12" spans="1:13" ht="50.75" customHeight="1">
      <c r="A12" s="1" t="s">
        <v>952</v>
      </c>
      <c r="B12" s="1" t="s">
        <v>714</v>
      </c>
      <c r="C12" s="1" t="s">
        <v>934</v>
      </c>
      <c r="D12" s="1" t="s">
        <v>935</v>
      </c>
      <c r="E12" s="1" t="s">
        <v>936</v>
      </c>
      <c r="F12" s="1"/>
      <c r="G12" s="1" t="s">
        <v>937</v>
      </c>
      <c r="H12" s="1" t="s">
        <v>938</v>
      </c>
      <c r="I12" s="1" t="s">
        <v>934</v>
      </c>
      <c r="J12" s="1" t="s">
        <v>939</v>
      </c>
      <c r="K12" s="1" t="s">
        <v>940</v>
      </c>
      <c r="L12" s="1" t="s">
        <v>941</v>
      </c>
      <c r="M12" s="1" t="s">
        <v>942</v>
      </c>
    </row>
    <row r="13" spans="1:13" ht="50.75" customHeight="1">
      <c r="A13" s="1" t="s">
        <v>953</v>
      </c>
      <c r="B13" s="1" t="s">
        <v>707</v>
      </c>
      <c r="C13" s="1" t="s">
        <v>934</v>
      </c>
      <c r="D13" s="1" t="s">
        <v>935</v>
      </c>
      <c r="E13" s="1" t="s">
        <v>936</v>
      </c>
      <c r="F13" s="1"/>
      <c r="G13" s="1" t="s">
        <v>937</v>
      </c>
      <c r="H13" s="1" t="s">
        <v>938</v>
      </c>
      <c r="I13" s="1" t="s">
        <v>934</v>
      </c>
      <c r="J13" s="1" t="s">
        <v>939</v>
      </c>
      <c r="K13" s="1" t="s">
        <v>940</v>
      </c>
      <c r="L13" s="1" t="s">
        <v>941</v>
      </c>
      <c r="M13" s="1" t="s">
        <v>942</v>
      </c>
    </row>
    <row r="14" spans="1:13" ht="50.75" customHeight="1">
      <c r="A14" s="1" t="s">
        <v>954</v>
      </c>
      <c r="B14" s="1" t="s">
        <v>712</v>
      </c>
      <c r="C14" s="1" t="s">
        <v>934</v>
      </c>
      <c r="D14" s="1" t="s">
        <v>935</v>
      </c>
      <c r="E14" s="1" t="s">
        <v>936</v>
      </c>
      <c r="F14" s="1"/>
      <c r="G14" s="1" t="s">
        <v>937</v>
      </c>
      <c r="H14" s="1" t="s">
        <v>938</v>
      </c>
      <c r="I14" s="1" t="s">
        <v>934</v>
      </c>
      <c r="J14" s="1" t="s">
        <v>939</v>
      </c>
      <c r="K14" s="1" t="s">
        <v>940</v>
      </c>
      <c r="L14" s="1" t="s">
        <v>941</v>
      </c>
      <c r="M14" s="1" t="s">
        <v>942</v>
      </c>
    </row>
    <row r="15" spans="1:13" ht="50.75" customHeight="1">
      <c r="A15" s="1" t="s">
        <v>955</v>
      </c>
      <c r="B15" s="1" t="s">
        <v>723</v>
      </c>
      <c r="C15" s="1" t="s">
        <v>934</v>
      </c>
      <c r="D15" s="1" t="s">
        <v>935</v>
      </c>
      <c r="E15" s="1" t="s">
        <v>936</v>
      </c>
      <c r="F15" s="1"/>
      <c r="G15" s="1" t="s">
        <v>937</v>
      </c>
      <c r="H15" s="1" t="s">
        <v>938</v>
      </c>
      <c r="I15" s="1" t="s">
        <v>934</v>
      </c>
      <c r="J15" s="1" t="s">
        <v>939</v>
      </c>
      <c r="K15" s="1" t="s">
        <v>940</v>
      </c>
      <c r="L15" s="1" t="s">
        <v>941</v>
      </c>
      <c r="M15" s="1" t="s">
        <v>942</v>
      </c>
    </row>
    <row r="16" spans="1:13" ht="50.75" customHeight="1">
      <c r="A16" s="1" t="s">
        <v>956</v>
      </c>
      <c r="B16" s="1" t="s">
        <v>732</v>
      </c>
      <c r="C16" s="1" t="s">
        <v>934</v>
      </c>
      <c r="D16" s="1" t="s">
        <v>935</v>
      </c>
      <c r="E16" s="1" t="s">
        <v>936</v>
      </c>
      <c r="F16" s="1"/>
      <c r="G16" s="1" t="s">
        <v>937</v>
      </c>
      <c r="H16" s="1" t="s">
        <v>938</v>
      </c>
      <c r="I16" s="1" t="s">
        <v>934</v>
      </c>
      <c r="J16" s="1" t="s">
        <v>939</v>
      </c>
      <c r="K16" s="1" t="s">
        <v>940</v>
      </c>
      <c r="L16" s="1" t="s">
        <v>941</v>
      </c>
      <c r="M16" s="1" t="s">
        <v>942</v>
      </c>
    </row>
    <row r="17" spans="1:13" ht="50.75" customHeight="1">
      <c r="A17" s="1" t="s">
        <v>957</v>
      </c>
      <c r="B17" s="1" t="s">
        <v>739</v>
      </c>
      <c r="C17" s="1" t="s">
        <v>934</v>
      </c>
      <c r="D17" s="1" t="s">
        <v>935</v>
      </c>
      <c r="E17" s="1" t="s">
        <v>936</v>
      </c>
      <c r="F17" s="1"/>
      <c r="G17" s="1" t="s">
        <v>937</v>
      </c>
      <c r="H17" s="1" t="s">
        <v>938</v>
      </c>
      <c r="I17" s="1" t="s">
        <v>934</v>
      </c>
      <c r="J17" s="1" t="s">
        <v>939</v>
      </c>
      <c r="K17" s="1" t="s">
        <v>940</v>
      </c>
      <c r="L17" s="1" t="s">
        <v>941</v>
      </c>
      <c r="M17" s="1" t="s">
        <v>942</v>
      </c>
    </row>
    <row r="18" spans="1:13" ht="50.75" customHeight="1">
      <c r="A18" s="1" t="s">
        <v>958</v>
      </c>
      <c r="B18" s="1" t="s">
        <v>888</v>
      </c>
      <c r="C18" s="1" t="s">
        <v>934</v>
      </c>
      <c r="D18" s="1" t="s">
        <v>935</v>
      </c>
      <c r="E18" s="1" t="s">
        <v>936</v>
      </c>
      <c r="F18" s="1"/>
      <c r="G18" s="1" t="s">
        <v>937</v>
      </c>
      <c r="H18" s="1" t="s">
        <v>938</v>
      </c>
      <c r="I18" s="1" t="s">
        <v>934</v>
      </c>
      <c r="J18" s="1" t="s">
        <v>939</v>
      </c>
      <c r="K18" s="1" t="s">
        <v>940</v>
      </c>
      <c r="L18" s="1" t="s">
        <v>941</v>
      </c>
      <c r="M18" s="1" t="s">
        <v>942</v>
      </c>
    </row>
    <row r="19" spans="1:13" ht="50.75" customHeight="1">
      <c r="A19" s="1" t="s">
        <v>959</v>
      </c>
      <c r="B19" s="1" t="s">
        <v>369</v>
      </c>
      <c r="C19" s="1" t="s">
        <v>934</v>
      </c>
      <c r="D19" s="1" t="s">
        <v>935</v>
      </c>
      <c r="E19" s="1" t="s">
        <v>936</v>
      </c>
      <c r="F19" s="1"/>
      <c r="G19" s="1" t="s">
        <v>937</v>
      </c>
      <c r="H19" s="1" t="s">
        <v>938</v>
      </c>
      <c r="I19" s="1" t="s">
        <v>934</v>
      </c>
      <c r="J19" s="1" t="s">
        <v>939</v>
      </c>
      <c r="K19" s="1" t="s">
        <v>940</v>
      </c>
      <c r="L19" s="1" t="s">
        <v>941</v>
      </c>
      <c r="M19" s="1" t="s">
        <v>942</v>
      </c>
    </row>
    <row r="20" spans="1:13" ht="50.75" customHeight="1">
      <c r="A20" s="1" t="s">
        <v>960</v>
      </c>
      <c r="B20" s="1" t="s">
        <v>900</v>
      </c>
      <c r="C20" s="1" t="s">
        <v>934</v>
      </c>
      <c r="D20" s="1" t="s">
        <v>935</v>
      </c>
      <c r="E20" s="1" t="s">
        <v>936</v>
      </c>
      <c r="F20" s="1"/>
      <c r="G20" s="1" t="s">
        <v>937</v>
      </c>
      <c r="H20" s="1" t="s">
        <v>938</v>
      </c>
      <c r="I20" s="1" t="s">
        <v>934</v>
      </c>
      <c r="J20" s="1" t="s">
        <v>939</v>
      </c>
      <c r="K20" s="1" t="s">
        <v>940</v>
      </c>
      <c r="L20" s="1" t="s">
        <v>941</v>
      </c>
      <c r="M20" s="1" t="s">
        <v>942</v>
      </c>
    </row>
    <row r="21" spans="1:13" ht="50.75" customHeight="1">
      <c r="A21" s="1" t="s">
        <v>961</v>
      </c>
      <c r="B21" s="1" t="s">
        <v>194</v>
      </c>
      <c r="C21" s="1" t="s">
        <v>962</v>
      </c>
      <c r="D21" s="1" t="s">
        <v>935</v>
      </c>
      <c r="E21" s="1" t="s">
        <v>963</v>
      </c>
      <c r="F21" s="1"/>
      <c r="G21" s="1" t="s">
        <v>937</v>
      </c>
      <c r="H21" s="1" t="s">
        <v>964</v>
      </c>
      <c r="I21" s="1" t="s">
        <v>962</v>
      </c>
      <c r="J21" s="1" t="s">
        <v>939</v>
      </c>
      <c r="K21" s="1" t="s">
        <v>940</v>
      </c>
      <c r="L21" s="1" t="s">
        <v>941</v>
      </c>
      <c r="M21" s="1" t="s">
        <v>965</v>
      </c>
    </row>
    <row r="22" spans="1:13" ht="50.75" customHeight="1">
      <c r="A22" s="1" t="s">
        <v>966</v>
      </c>
      <c r="B22" s="1" t="s">
        <v>466</v>
      </c>
      <c r="C22" s="1" t="s">
        <v>962</v>
      </c>
      <c r="D22" s="1" t="s">
        <v>935</v>
      </c>
      <c r="E22" s="1" t="s">
        <v>963</v>
      </c>
      <c r="F22" s="1"/>
      <c r="G22" s="1" t="s">
        <v>937</v>
      </c>
      <c r="H22" s="1" t="s">
        <v>964</v>
      </c>
      <c r="I22" s="1" t="s">
        <v>962</v>
      </c>
      <c r="J22" s="1" t="s">
        <v>939</v>
      </c>
      <c r="K22" s="1" t="s">
        <v>940</v>
      </c>
      <c r="L22" s="1" t="s">
        <v>941</v>
      </c>
      <c r="M22" s="1" t="s">
        <v>965</v>
      </c>
    </row>
    <row r="23" spans="1:13" ht="50.75" customHeight="1">
      <c r="A23" s="1" t="s">
        <v>967</v>
      </c>
      <c r="B23" s="1" t="s">
        <v>697</v>
      </c>
      <c r="C23" s="1" t="s">
        <v>962</v>
      </c>
      <c r="D23" s="1" t="s">
        <v>935</v>
      </c>
      <c r="E23" s="1" t="s">
        <v>963</v>
      </c>
      <c r="F23" s="1"/>
      <c r="G23" s="1" t="s">
        <v>937</v>
      </c>
      <c r="H23" s="1" t="s">
        <v>964</v>
      </c>
      <c r="I23" s="1" t="s">
        <v>962</v>
      </c>
      <c r="J23" s="1" t="s">
        <v>939</v>
      </c>
      <c r="K23" s="1" t="s">
        <v>940</v>
      </c>
      <c r="L23" s="1" t="s">
        <v>941</v>
      </c>
      <c r="M23" s="1" t="s">
        <v>965</v>
      </c>
    </row>
    <row r="24" spans="1:13" ht="50.75" customHeight="1">
      <c r="A24" s="1" t="s">
        <v>968</v>
      </c>
      <c r="B24" s="1" t="s">
        <v>714</v>
      </c>
      <c r="C24" s="1" t="s">
        <v>962</v>
      </c>
      <c r="D24" s="1" t="s">
        <v>935</v>
      </c>
      <c r="E24" s="1" t="s">
        <v>963</v>
      </c>
      <c r="F24" s="1"/>
      <c r="G24" s="1" t="s">
        <v>937</v>
      </c>
      <c r="H24" s="1" t="s">
        <v>964</v>
      </c>
      <c r="I24" s="1" t="s">
        <v>962</v>
      </c>
      <c r="J24" s="1" t="s">
        <v>939</v>
      </c>
      <c r="K24" s="1" t="s">
        <v>940</v>
      </c>
      <c r="L24" s="1" t="s">
        <v>941</v>
      </c>
      <c r="M24" s="1" t="s">
        <v>965</v>
      </c>
    </row>
    <row r="25" spans="1:13" ht="50.75" customHeight="1">
      <c r="A25" s="1" t="s">
        <v>969</v>
      </c>
      <c r="B25" s="1" t="s">
        <v>712</v>
      </c>
      <c r="C25" s="1" t="s">
        <v>962</v>
      </c>
      <c r="D25" s="1" t="s">
        <v>935</v>
      </c>
      <c r="E25" s="1" t="s">
        <v>963</v>
      </c>
      <c r="F25" s="1"/>
      <c r="G25" s="1" t="s">
        <v>937</v>
      </c>
      <c r="H25" s="1" t="s">
        <v>964</v>
      </c>
      <c r="I25" s="1" t="s">
        <v>962</v>
      </c>
      <c r="J25" s="1" t="s">
        <v>939</v>
      </c>
      <c r="K25" s="1" t="s">
        <v>940</v>
      </c>
      <c r="L25" s="1" t="s">
        <v>941</v>
      </c>
      <c r="M25" s="1" t="s">
        <v>965</v>
      </c>
    </row>
    <row r="26" spans="1:13" ht="50.75" customHeight="1">
      <c r="A26" s="1" t="s">
        <v>970</v>
      </c>
      <c r="B26" s="1" t="s">
        <v>888</v>
      </c>
      <c r="C26" s="1" t="s">
        <v>962</v>
      </c>
      <c r="D26" s="1" t="s">
        <v>935</v>
      </c>
      <c r="E26" s="1" t="s">
        <v>963</v>
      </c>
      <c r="F26" s="1"/>
      <c r="G26" s="1" t="s">
        <v>937</v>
      </c>
      <c r="H26" s="1" t="s">
        <v>964</v>
      </c>
      <c r="I26" s="1" t="s">
        <v>962</v>
      </c>
      <c r="J26" s="1" t="s">
        <v>939</v>
      </c>
      <c r="K26" s="1" t="s">
        <v>940</v>
      </c>
      <c r="L26" s="1" t="s">
        <v>941</v>
      </c>
      <c r="M26" s="1" t="s">
        <v>965</v>
      </c>
    </row>
    <row r="27" spans="1:13" ht="50.75" customHeight="1">
      <c r="A27" s="1" t="s">
        <v>971</v>
      </c>
      <c r="B27" s="1" t="s">
        <v>900</v>
      </c>
      <c r="C27" s="1" t="s">
        <v>962</v>
      </c>
      <c r="D27" s="1" t="s">
        <v>935</v>
      </c>
      <c r="E27" s="1" t="s">
        <v>963</v>
      </c>
      <c r="F27" s="1"/>
      <c r="G27" s="1" t="s">
        <v>937</v>
      </c>
      <c r="H27" s="1" t="s">
        <v>964</v>
      </c>
      <c r="I27" s="1" t="s">
        <v>962</v>
      </c>
      <c r="J27" s="1" t="s">
        <v>939</v>
      </c>
      <c r="K27" s="1" t="s">
        <v>940</v>
      </c>
      <c r="L27" s="1" t="s">
        <v>941</v>
      </c>
      <c r="M27" s="1" t="s">
        <v>965</v>
      </c>
    </row>
    <row r="28" spans="1:13" ht="50.75" customHeight="1">
      <c r="A28" s="1" t="s">
        <v>972</v>
      </c>
      <c r="B28" s="1" t="s">
        <v>177</v>
      </c>
      <c r="C28" s="1" t="s">
        <v>973</v>
      </c>
      <c r="D28" s="1" t="s">
        <v>935</v>
      </c>
      <c r="E28" s="1" t="s">
        <v>974</v>
      </c>
      <c r="F28" s="1"/>
      <c r="G28" s="1" t="s">
        <v>937</v>
      </c>
      <c r="H28" s="1" t="s">
        <v>975</v>
      </c>
      <c r="I28" s="1" t="s">
        <v>976</v>
      </c>
      <c r="J28" s="1" t="s">
        <v>939</v>
      </c>
      <c r="K28" s="1" t="s">
        <v>940</v>
      </c>
      <c r="L28" s="1" t="s">
        <v>941</v>
      </c>
      <c r="M28" s="1" t="s">
        <v>977</v>
      </c>
    </row>
    <row r="29" spans="1:13" ht="50.75" customHeight="1">
      <c r="A29" s="1" t="s">
        <v>978</v>
      </c>
      <c r="B29" s="1" t="s">
        <v>476</v>
      </c>
      <c r="C29" s="1" t="s">
        <v>973</v>
      </c>
      <c r="D29" s="1" t="s">
        <v>935</v>
      </c>
      <c r="E29" s="1" t="s">
        <v>974</v>
      </c>
      <c r="F29" s="1"/>
      <c r="G29" s="1" t="s">
        <v>937</v>
      </c>
      <c r="H29" s="1" t="s">
        <v>975</v>
      </c>
      <c r="I29" s="1" t="s">
        <v>976</v>
      </c>
      <c r="J29" s="1" t="s">
        <v>939</v>
      </c>
      <c r="K29" s="1" t="s">
        <v>940</v>
      </c>
      <c r="L29" s="1" t="s">
        <v>941</v>
      </c>
      <c r="M29" s="1" t="s">
        <v>977</v>
      </c>
    </row>
    <row r="30" spans="1:13" ht="50.75" customHeight="1">
      <c r="A30" s="1" t="s">
        <v>979</v>
      </c>
      <c r="B30" s="1" t="s">
        <v>482</v>
      </c>
      <c r="C30" s="1" t="s">
        <v>973</v>
      </c>
      <c r="D30" s="1" t="s">
        <v>935</v>
      </c>
      <c r="E30" s="1" t="s">
        <v>974</v>
      </c>
      <c r="F30" s="1"/>
      <c r="G30" s="1" t="s">
        <v>937</v>
      </c>
      <c r="H30" s="1" t="s">
        <v>975</v>
      </c>
      <c r="I30" s="1" t="s">
        <v>976</v>
      </c>
      <c r="J30" s="1" t="s">
        <v>939</v>
      </c>
      <c r="K30" s="1" t="s">
        <v>940</v>
      </c>
      <c r="L30" s="1" t="s">
        <v>941</v>
      </c>
      <c r="M30" s="1" t="s">
        <v>977</v>
      </c>
    </row>
    <row r="31" spans="1:13" ht="50.75" customHeight="1">
      <c r="A31" s="1" t="s">
        <v>980</v>
      </c>
      <c r="B31" s="1" t="s">
        <v>707</v>
      </c>
      <c r="C31" s="1" t="s">
        <v>973</v>
      </c>
      <c r="D31" s="1" t="s">
        <v>935</v>
      </c>
      <c r="E31" s="1" t="s">
        <v>974</v>
      </c>
      <c r="F31" s="1"/>
      <c r="G31" s="1" t="s">
        <v>937</v>
      </c>
      <c r="H31" s="1" t="s">
        <v>975</v>
      </c>
      <c r="I31" s="1" t="s">
        <v>976</v>
      </c>
      <c r="J31" s="1" t="s">
        <v>939</v>
      </c>
      <c r="K31" s="1" t="s">
        <v>940</v>
      </c>
      <c r="L31" s="1" t="s">
        <v>941</v>
      </c>
      <c r="M31" s="1" t="s">
        <v>977</v>
      </c>
    </row>
    <row r="32" spans="1:13" ht="50.75" customHeight="1">
      <c r="A32" s="1" t="s">
        <v>981</v>
      </c>
      <c r="B32" s="1" t="s">
        <v>712</v>
      </c>
      <c r="C32" s="1" t="s">
        <v>973</v>
      </c>
      <c r="D32" s="1" t="s">
        <v>935</v>
      </c>
      <c r="E32" s="1" t="s">
        <v>974</v>
      </c>
      <c r="F32" s="1"/>
      <c r="G32" s="1" t="s">
        <v>937</v>
      </c>
      <c r="H32" s="1" t="s">
        <v>975</v>
      </c>
      <c r="I32" s="1" t="s">
        <v>976</v>
      </c>
      <c r="J32" s="1" t="s">
        <v>939</v>
      </c>
      <c r="K32" s="1" t="s">
        <v>940</v>
      </c>
      <c r="L32" s="1" t="s">
        <v>941</v>
      </c>
      <c r="M32" s="1" t="s">
        <v>977</v>
      </c>
    </row>
    <row r="33" spans="1:13" ht="50.75" customHeight="1">
      <c r="A33" s="1" t="s">
        <v>982</v>
      </c>
      <c r="B33" s="1" t="s">
        <v>723</v>
      </c>
      <c r="C33" s="1" t="s">
        <v>973</v>
      </c>
      <c r="D33" s="1" t="s">
        <v>935</v>
      </c>
      <c r="E33" s="1" t="s">
        <v>974</v>
      </c>
      <c r="F33" s="1"/>
      <c r="G33" s="1" t="s">
        <v>937</v>
      </c>
      <c r="H33" s="1" t="s">
        <v>975</v>
      </c>
      <c r="I33" s="1" t="s">
        <v>976</v>
      </c>
      <c r="J33" s="1" t="s">
        <v>939</v>
      </c>
      <c r="K33" s="1" t="s">
        <v>940</v>
      </c>
      <c r="L33" s="1" t="s">
        <v>941</v>
      </c>
      <c r="M33" s="1" t="s">
        <v>977</v>
      </c>
    </row>
    <row r="34" spans="1:13" ht="50.75" customHeight="1">
      <c r="A34" s="1" t="s">
        <v>983</v>
      </c>
      <c r="B34" s="1" t="s">
        <v>732</v>
      </c>
      <c r="C34" s="1" t="s">
        <v>973</v>
      </c>
      <c r="D34" s="1" t="s">
        <v>935</v>
      </c>
      <c r="E34" s="1" t="s">
        <v>974</v>
      </c>
      <c r="F34" s="1"/>
      <c r="G34" s="1" t="s">
        <v>937</v>
      </c>
      <c r="H34" s="1" t="s">
        <v>975</v>
      </c>
      <c r="I34" s="1" t="s">
        <v>976</v>
      </c>
      <c r="J34" s="1" t="s">
        <v>939</v>
      </c>
      <c r="K34" s="1" t="s">
        <v>940</v>
      </c>
      <c r="L34" s="1" t="s">
        <v>941</v>
      </c>
      <c r="M34" s="1" t="s">
        <v>977</v>
      </c>
    </row>
    <row r="35" spans="1:13" ht="50.75" customHeight="1">
      <c r="A35" s="1" t="s">
        <v>984</v>
      </c>
      <c r="B35" s="1" t="s">
        <v>369</v>
      </c>
      <c r="C35" s="1" t="s">
        <v>973</v>
      </c>
      <c r="D35" s="1" t="s">
        <v>935</v>
      </c>
      <c r="E35" s="1" t="s">
        <v>974</v>
      </c>
      <c r="F35" s="1"/>
      <c r="G35" s="1" t="s">
        <v>937</v>
      </c>
      <c r="H35" s="1" t="s">
        <v>975</v>
      </c>
      <c r="I35" s="1" t="s">
        <v>976</v>
      </c>
      <c r="J35" s="1" t="s">
        <v>939</v>
      </c>
      <c r="K35" s="1" t="s">
        <v>940</v>
      </c>
      <c r="L35" s="1" t="s">
        <v>941</v>
      </c>
      <c r="M35" s="1" t="s">
        <v>977</v>
      </c>
    </row>
    <row r="36" spans="1:13" ht="50.75" customHeight="1">
      <c r="A36" s="1" t="s">
        <v>985</v>
      </c>
      <c r="B36" s="1" t="s">
        <v>900</v>
      </c>
      <c r="C36" s="1" t="s">
        <v>973</v>
      </c>
      <c r="D36" s="1" t="s">
        <v>935</v>
      </c>
      <c r="E36" s="1" t="s">
        <v>974</v>
      </c>
      <c r="F36" s="1"/>
      <c r="G36" s="1" t="s">
        <v>937</v>
      </c>
      <c r="H36" s="1" t="s">
        <v>975</v>
      </c>
      <c r="I36" s="1" t="s">
        <v>976</v>
      </c>
      <c r="J36" s="1" t="s">
        <v>939</v>
      </c>
      <c r="K36" s="1" t="s">
        <v>940</v>
      </c>
      <c r="L36" s="1" t="s">
        <v>941</v>
      </c>
      <c r="M36" s="1" t="s">
        <v>977</v>
      </c>
    </row>
    <row r="37" spans="1:13" ht="50.75" customHeight="1">
      <c r="A37" s="1" t="s">
        <v>986</v>
      </c>
      <c r="B37" s="1" t="s">
        <v>143</v>
      </c>
      <c r="C37" s="1" t="s">
        <v>987</v>
      </c>
      <c r="D37" s="1" t="s">
        <v>935</v>
      </c>
      <c r="E37" s="1" t="s">
        <v>988</v>
      </c>
      <c r="F37" s="1" t="s">
        <v>989</v>
      </c>
      <c r="G37" s="1" t="s">
        <v>990</v>
      </c>
      <c r="H37" s="1" t="s">
        <v>991</v>
      </c>
      <c r="I37" s="1" t="s">
        <v>992</v>
      </c>
      <c r="J37" s="1" t="s">
        <v>939</v>
      </c>
      <c r="K37" s="1" t="s">
        <v>940</v>
      </c>
      <c r="L37" s="1" t="s">
        <v>941</v>
      </c>
      <c r="M37" s="1" t="s">
        <v>993</v>
      </c>
    </row>
    <row r="38" spans="1:13" ht="50.75" customHeight="1">
      <c r="A38" s="1" t="s">
        <v>994</v>
      </c>
      <c r="B38" s="1" t="s">
        <v>238</v>
      </c>
      <c r="C38" s="1" t="s">
        <v>987</v>
      </c>
      <c r="D38" s="1" t="s">
        <v>935</v>
      </c>
      <c r="E38" s="1" t="s">
        <v>988</v>
      </c>
      <c r="F38" s="1" t="s">
        <v>995</v>
      </c>
      <c r="G38" s="1" t="s">
        <v>990</v>
      </c>
      <c r="H38" s="1" t="s">
        <v>991</v>
      </c>
      <c r="I38" s="1" t="s">
        <v>992</v>
      </c>
      <c r="J38" s="1" t="s">
        <v>939</v>
      </c>
      <c r="K38" s="1" t="s">
        <v>940</v>
      </c>
      <c r="L38" s="1" t="s">
        <v>941</v>
      </c>
      <c r="M38" s="1" t="s">
        <v>993</v>
      </c>
    </row>
    <row r="39" spans="1:13" ht="50.75" customHeight="1">
      <c r="A39" s="1" t="s">
        <v>996</v>
      </c>
      <c r="B39" s="1" t="s">
        <v>275</v>
      </c>
      <c r="C39" s="1" t="s">
        <v>997</v>
      </c>
      <c r="D39" s="1" t="s">
        <v>935</v>
      </c>
      <c r="E39" s="1" t="s">
        <v>988</v>
      </c>
      <c r="F39" s="1" t="s">
        <v>266</v>
      </c>
      <c r="G39" s="1" t="s">
        <v>990</v>
      </c>
      <c r="H39" s="1" t="s">
        <v>991</v>
      </c>
      <c r="I39" s="1" t="s">
        <v>992</v>
      </c>
      <c r="J39" s="1" t="s">
        <v>939</v>
      </c>
      <c r="K39" s="1" t="s">
        <v>940</v>
      </c>
      <c r="L39" s="1" t="s">
        <v>941</v>
      </c>
      <c r="M39" s="1" t="s">
        <v>993</v>
      </c>
    </row>
    <row r="40" spans="1:13" ht="50.75" customHeight="1">
      <c r="A40" s="1" t="s">
        <v>998</v>
      </c>
      <c r="B40" s="1" t="s">
        <v>313</v>
      </c>
      <c r="C40" s="1" t="s">
        <v>999</v>
      </c>
      <c r="D40" s="1" t="s">
        <v>935</v>
      </c>
      <c r="E40" s="1" t="s">
        <v>988</v>
      </c>
      <c r="F40" s="1" t="s">
        <v>316</v>
      </c>
      <c r="G40" s="1" t="s">
        <v>990</v>
      </c>
      <c r="H40" s="1" t="s">
        <v>991</v>
      </c>
      <c r="I40" s="1" t="s">
        <v>992</v>
      </c>
      <c r="J40" s="1" t="s">
        <v>939</v>
      </c>
      <c r="K40" s="1" t="s">
        <v>940</v>
      </c>
      <c r="L40" s="1" t="s">
        <v>941</v>
      </c>
      <c r="M40" s="1" t="s">
        <v>993</v>
      </c>
    </row>
    <row r="41" spans="1:13" ht="50.75" customHeight="1">
      <c r="A41" s="1" t="s">
        <v>1000</v>
      </c>
      <c r="B41" s="1" t="s">
        <v>321</v>
      </c>
      <c r="C41" s="1" t="s">
        <v>999</v>
      </c>
      <c r="D41" s="1" t="s">
        <v>935</v>
      </c>
      <c r="E41" s="1" t="s">
        <v>988</v>
      </c>
      <c r="F41" s="1" t="s">
        <v>323</v>
      </c>
      <c r="G41" s="1" t="s">
        <v>990</v>
      </c>
      <c r="H41" s="1" t="s">
        <v>991</v>
      </c>
      <c r="I41" s="1" t="s">
        <v>992</v>
      </c>
      <c r="J41" s="1" t="s">
        <v>939</v>
      </c>
      <c r="K41" s="1" t="s">
        <v>940</v>
      </c>
      <c r="L41" s="1" t="s">
        <v>941</v>
      </c>
      <c r="M41" s="1" t="s">
        <v>993</v>
      </c>
    </row>
    <row r="42" spans="1:13" ht="50.75" customHeight="1">
      <c r="A42" s="1" t="s">
        <v>1001</v>
      </c>
      <c r="B42" s="1" t="s">
        <v>327</v>
      </c>
      <c r="C42" s="1" t="s">
        <v>999</v>
      </c>
      <c r="D42" s="1" t="s">
        <v>935</v>
      </c>
      <c r="E42" s="1" t="s">
        <v>988</v>
      </c>
      <c r="F42" s="1" t="s">
        <v>1002</v>
      </c>
      <c r="G42" s="1" t="s">
        <v>990</v>
      </c>
      <c r="H42" s="1" t="s">
        <v>991</v>
      </c>
      <c r="I42" s="1" t="s">
        <v>992</v>
      </c>
      <c r="J42" s="1" t="s">
        <v>939</v>
      </c>
      <c r="K42" s="1" t="s">
        <v>940</v>
      </c>
      <c r="L42" s="1" t="s">
        <v>941</v>
      </c>
      <c r="M42" s="1" t="s">
        <v>993</v>
      </c>
    </row>
    <row r="43" spans="1:13" ht="50.75" customHeight="1">
      <c r="A43" s="1" t="s">
        <v>1003</v>
      </c>
      <c r="B43" s="1" t="s">
        <v>450</v>
      </c>
      <c r="C43" s="1" t="s">
        <v>997</v>
      </c>
      <c r="D43" s="1" t="s">
        <v>935</v>
      </c>
      <c r="E43" s="1" t="s">
        <v>988</v>
      </c>
      <c r="F43" s="1" t="s">
        <v>439</v>
      </c>
      <c r="G43" s="1" t="s">
        <v>990</v>
      </c>
      <c r="H43" s="1" t="s">
        <v>991</v>
      </c>
      <c r="I43" s="1" t="s">
        <v>992</v>
      </c>
      <c r="J43" s="1" t="s">
        <v>939</v>
      </c>
      <c r="K43" s="1" t="s">
        <v>940</v>
      </c>
      <c r="L43" s="1" t="s">
        <v>941</v>
      </c>
      <c r="M43" s="1" t="s">
        <v>993</v>
      </c>
    </row>
    <row r="44" spans="1:13" ht="50.75" customHeight="1">
      <c r="A44" s="1" t="s">
        <v>1004</v>
      </c>
      <c r="B44" s="1" t="s">
        <v>462</v>
      </c>
      <c r="C44" s="1" t="s">
        <v>997</v>
      </c>
      <c r="D44" s="1" t="s">
        <v>935</v>
      </c>
      <c r="E44" s="1" t="s">
        <v>988</v>
      </c>
      <c r="F44" s="1" t="s">
        <v>459</v>
      </c>
      <c r="G44" s="1" t="s">
        <v>990</v>
      </c>
      <c r="H44" s="1" t="s">
        <v>991</v>
      </c>
      <c r="I44" s="1" t="s">
        <v>992</v>
      </c>
      <c r="J44" s="1" t="s">
        <v>939</v>
      </c>
      <c r="K44" s="1" t="s">
        <v>940</v>
      </c>
      <c r="L44" s="1" t="s">
        <v>941</v>
      </c>
      <c r="M44" s="1" t="s">
        <v>993</v>
      </c>
    </row>
    <row r="45" spans="1:13" ht="50.75" customHeight="1">
      <c r="A45" s="1" t="s">
        <v>1005</v>
      </c>
      <c r="B45" s="1" t="s">
        <v>655</v>
      </c>
      <c r="C45" s="1" t="s">
        <v>987</v>
      </c>
      <c r="D45" s="1" t="s">
        <v>935</v>
      </c>
      <c r="E45" s="1" t="s">
        <v>988</v>
      </c>
      <c r="F45" s="1" t="s">
        <v>638</v>
      </c>
      <c r="G45" s="1" t="s">
        <v>990</v>
      </c>
      <c r="H45" s="1" t="s">
        <v>991</v>
      </c>
      <c r="I45" s="1" t="s">
        <v>992</v>
      </c>
      <c r="J45" s="1" t="s">
        <v>939</v>
      </c>
      <c r="K45" s="1" t="s">
        <v>940</v>
      </c>
      <c r="L45" s="1" t="s">
        <v>941</v>
      </c>
      <c r="M45" s="1" t="s">
        <v>993</v>
      </c>
    </row>
    <row r="46" spans="1:13" ht="50.75" customHeight="1">
      <c r="A46" s="1" t="s">
        <v>1006</v>
      </c>
      <c r="B46" s="1" t="s">
        <v>673</v>
      </c>
      <c r="C46" s="1" t="s">
        <v>987</v>
      </c>
      <c r="D46" s="1" t="s">
        <v>935</v>
      </c>
      <c r="E46" s="1" t="s">
        <v>988</v>
      </c>
      <c r="F46" s="1" t="s">
        <v>664</v>
      </c>
      <c r="G46" s="1" t="s">
        <v>990</v>
      </c>
      <c r="H46" s="1" t="s">
        <v>991</v>
      </c>
      <c r="I46" s="1" t="s">
        <v>992</v>
      </c>
      <c r="J46" s="1" t="s">
        <v>939</v>
      </c>
      <c r="K46" s="1" t="s">
        <v>940</v>
      </c>
      <c r="L46" s="1" t="s">
        <v>941</v>
      </c>
      <c r="M46" s="1" t="s">
        <v>993</v>
      </c>
    </row>
    <row r="47" spans="1:13" ht="50.75" customHeight="1">
      <c r="A47" s="1" t="s">
        <v>1007</v>
      </c>
      <c r="B47" s="1" t="s">
        <v>767</v>
      </c>
      <c r="C47" s="1" t="s">
        <v>987</v>
      </c>
      <c r="D47" s="1" t="s">
        <v>935</v>
      </c>
      <c r="E47" s="1" t="s">
        <v>988</v>
      </c>
      <c r="F47" s="1" t="s">
        <v>683</v>
      </c>
      <c r="G47" s="1" t="s">
        <v>990</v>
      </c>
      <c r="H47" s="1" t="s">
        <v>991</v>
      </c>
      <c r="I47" s="1" t="s">
        <v>992</v>
      </c>
      <c r="J47" s="1" t="s">
        <v>939</v>
      </c>
      <c r="K47" s="1" t="s">
        <v>940</v>
      </c>
      <c r="L47" s="1" t="s">
        <v>941</v>
      </c>
      <c r="M47" s="1" t="s">
        <v>993</v>
      </c>
    </row>
    <row r="48" spans="1:13" ht="50.75" customHeight="1">
      <c r="A48" s="1" t="s">
        <v>1008</v>
      </c>
      <c r="B48" s="1" t="s">
        <v>786</v>
      </c>
      <c r="C48" s="1" t="s">
        <v>987</v>
      </c>
      <c r="D48" s="1" t="s">
        <v>935</v>
      </c>
      <c r="E48" s="1" t="s">
        <v>988</v>
      </c>
      <c r="F48" s="1" t="s">
        <v>777</v>
      </c>
      <c r="G48" s="1" t="s">
        <v>990</v>
      </c>
      <c r="H48" s="1" t="s">
        <v>991</v>
      </c>
      <c r="I48" s="1" t="s">
        <v>992</v>
      </c>
      <c r="J48" s="1" t="s">
        <v>939</v>
      </c>
      <c r="K48" s="1" t="s">
        <v>940</v>
      </c>
      <c r="L48" s="1" t="s">
        <v>941</v>
      </c>
      <c r="M48" s="1" t="s">
        <v>993</v>
      </c>
    </row>
    <row r="49" spans="1:13" ht="50.75" customHeight="1">
      <c r="A49" s="1" t="s">
        <v>1009</v>
      </c>
      <c r="B49" s="1" t="s">
        <v>816</v>
      </c>
      <c r="C49" s="1" t="s">
        <v>987</v>
      </c>
      <c r="D49" s="1" t="s">
        <v>935</v>
      </c>
      <c r="E49" s="1" t="s">
        <v>988</v>
      </c>
      <c r="F49" s="1" t="s">
        <v>807</v>
      </c>
      <c r="G49" s="1" t="s">
        <v>990</v>
      </c>
      <c r="H49" s="1" t="s">
        <v>991</v>
      </c>
      <c r="I49" s="1" t="s">
        <v>992</v>
      </c>
      <c r="J49" s="1" t="s">
        <v>939</v>
      </c>
      <c r="K49" s="1" t="s">
        <v>940</v>
      </c>
      <c r="L49" s="1" t="s">
        <v>941</v>
      </c>
      <c r="M49" s="1" t="s">
        <v>993</v>
      </c>
    </row>
    <row r="50" spans="1:13" ht="50.75" customHeight="1">
      <c r="A50" s="1" t="s">
        <v>1010</v>
      </c>
      <c r="B50" s="1" t="s">
        <v>910</v>
      </c>
      <c r="C50" s="1" t="s">
        <v>911</v>
      </c>
      <c r="D50" s="1" t="s">
        <v>1011</v>
      </c>
      <c r="E50" s="1" t="s">
        <v>1012</v>
      </c>
      <c r="F50" s="1" t="s">
        <v>1013</v>
      </c>
      <c r="G50" s="1" t="s">
        <v>1014</v>
      </c>
      <c r="H50" s="1" t="s">
        <v>1015</v>
      </c>
      <c r="I50" s="1" t="s">
        <v>1016</v>
      </c>
      <c r="J50" s="1" t="s">
        <v>1017</v>
      </c>
      <c r="K50" s="1" t="s">
        <v>940</v>
      </c>
      <c r="L50" s="1" t="s">
        <v>941</v>
      </c>
      <c r="M50" s="1" t="s">
        <v>1018</v>
      </c>
    </row>
    <row r="51" spans="1:13" ht="50.75" customHeight="1">
      <c r="A51" s="1" t="s">
        <v>1019</v>
      </c>
      <c r="B51" s="1" t="s">
        <v>910</v>
      </c>
      <c r="C51" s="1" t="s">
        <v>911</v>
      </c>
      <c r="D51" s="1" t="s">
        <v>1011</v>
      </c>
      <c r="E51" s="1" t="s">
        <v>1020</v>
      </c>
      <c r="F51" s="1" t="s">
        <v>1021</v>
      </c>
      <c r="G51" s="1" t="s">
        <v>1014</v>
      </c>
      <c r="H51" s="1" t="s">
        <v>1022</v>
      </c>
      <c r="I51" s="1" t="s">
        <v>1023</v>
      </c>
      <c r="J51" s="1" t="s">
        <v>1017</v>
      </c>
      <c r="K51" s="1" t="s">
        <v>940</v>
      </c>
      <c r="L51" s="1" t="s">
        <v>941</v>
      </c>
      <c r="M51" s="1" t="s">
        <v>1024</v>
      </c>
    </row>
    <row r="52" spans="1:13" ht="50.75" customHeight="1">
      <c r="A52" s="1" t="s">
        <v>1025</v>
      </c>
      <c r="B52" s="1" t="s">
        <v>757</v>
      </c>
      <c r="C52" s="1" t="s">
        <v>759</v>
      </c>
      <c r="D52" s="1" t="s">
        <v>1011</v>
      </c>
      <c r="E52" s="1" t="s">
        <v>1026</v>
      </c>
      <c r="F52" s="1" t="s">
        <v>760</v>
      </c>
      <c r="G52" s="1" t="s">
        <v>990</v>
      </c>
      <c r="H52" s="1" t="s">
        <v>1027</v>
      </c>
      <c r="I52" s="1" t="s">
        <v>1028</v>
      </c>
      <c r="J52" s="1" t="s">
        <v>1029</v>
      </c>
      <c r="K52" s="1" t="s">
        <v>940</v>
      </c>
      <c r="L52" s="1" t="s">
        <v>1030</v>
      </c>
      <c r="M52" s="1" t="s">
        <v>1031</v>
      </c>
    </row>
    <row r="53" spans="1:13" ht="50.75" customHeight="1">
      <c r="A53" s="1" t="s">
        <v>1032</v>
      </c>
      <c r="B53" s="1" t="s">
        <v>767</v>
      </c>
      <c r="C53" s="1" t="s">
        <v>1033</v>
      </c>
      <c r="D53" s="1" t="s">
        <v>935</v>
      </c>
      <c r="E53" s="1" t="s">
        <v>1034</v>
      </c>
      <c r="F53" s="1" t="s">
        <v>760</v>
      </c>
      <c r="G53" s="1" t="s">
        <v>990</v>
      </c>
      <c r="H53" s="1" t="s">
        <v>1027</v>
      </c>
      <c r="I53" s="1" t="s">
        <v>1035</v>
      </c>
      <c r="J53" s="1" t="s">
        <v>1029</v>
      </c>
      <c r="K53" s="1" t="s">
        <v>940</v>
      </c>
      <c r="L53" s="1" t="s">
        <v>1030</v>
      </c>
      <c r="M53" s="1" t="s">
        <v>1036</v>
      </c>
    </row>
    <row r="54" spans="1:13" ht="50.75" customHeight="1">
      <c r="A54" s="1" t="s">
        <v>1037</v>
      </c>
      <c r="B54" s="1" t="s">
        <v>910</v>
      </c>
      <c r="C54" s="1" t="s">
        <v>911</v>
      </c>
      <c r="D54" s="1" t="s">
        <v>1011</v>
      </c>
      <c r="E54" s="1" t="s">
        <v>1038</v>
      </c>
      <c r="F54" s="1" t="s">
        <v>1013</v>
      </c>
      <c r="G54" s="1" t="s">
        <v>990</v>
      </c>
      <c r="H54" s="1" t="s">
        <v>1015</v>
      </c>
      <c r="I54" s="1" t="s">
        <v>1039</v>
      </c>
      <c r="J54" s="1" t="s">
        <v>1017</v>
      </c>
      <c r="K54" s="1" t="s">
        <v>940</v>
      </c>
      <c r="L54" s="1" t="s">
        <v>941</v>
      </c>
      <c r="M54" s="1" t="s">
        <v>1040</v>
      </c>
    </row>
    <row r="55" spans="1:13" ht="50.75" customHeight="1">
      <c r="A55" s="1" t="s">
        <v>1041</v>
      </c>
      <c r="B55" s="1" t="s">
        <v>224</v>
      </c>
      <c r="C55" s="1" t="s">
        <v>973</v>
      </c>
      <c r="D55" s="1" t="s">
        <v>935</v>
      </c>
      <c r="E55" s="1" t="s">
        <v>974</v>
      </c>
      <c r="F55" s="1"/>
      <c r="G55" s="1" t="s">
        <v>937</v>
      </c>
      <c r="H55" s="1" t="s">
        <v>975</v>
      </c>
      <c r="I55" s="1" t="s">
        <v>976</v>
      </c>
      <c r="J55" s="1" t="s">
        <v>939</v>
      </c>
      <c r="K55" s="1" t="s">
        <v>940</v>
      </c>
      <c r="L55" s="1" t="s">
        <v>941</v>
      </c>
      <c r="M55" s="1" t="s">
        <v>1042</v>
      </c>
    </row>
    <row r="56" spans="1:13" ht="50.75" customHeight="1">
      <c r="A56" s="1" t="s">
        <v>1043</v>
      </c>
      <c r="B56" s="1" t="s">
        <v>488</v>
      </c>
      <c r="C56" s="1" t="s">
        <v>973</v>
      </c>
      <c r="D56" s="1" t="s">
        <v>935</v>
      </c>
      <c r="E56" s="1" t="s">
        <v>974</v>
      </c>
      <c r="F56" s="1"/>
      <c r="G56" s="1" t="s">
        <v>937</v>
      </c>
      <c r="H56" s="1" t="s">
        <v>975</v>
      </c>
      <c r="I56" s="1" t="s">
        <v>976</v>
      </c>
      <c r="J56" s="1" t="s">
        <v>939</v>
      </c>
      <c r="K56" s="1" t="s">
        <v>940</v>
      </c>
      <c r="L56" s="1" t="s">
        <v>941</v>
      </c>
      <c r="M56" s="1" t="s">
        <v>1042</v>
      </c>
    </row>
    <row r="57" spans="1:13" ht="50.75" customHeight="1">
      <c r="A57" s="1" t="s">
        <v>1044</v>
      </c>
      <c r="B57" s="1" t="s">
        <v>739</v>
      </c>
      <c r="C57" s="1" t="s">
        <v>973</v>
      </c>
      <c r="D57" s="1" t="s">
        <v>935</v>
      </c>
      <c r="E57" s="1" t="s">
        <v>974</v>
      </c>
      <c r="F57" s="1"/>
      <c r="G57" s="1" t="s">
        <v>937</v>
      </c>
      <c r="H57" s="1" t="s">
        <v>975</v>
      </c>
      <c r="I57" s="1" t="s">
        <v>976</v>
      </c>
      <c r="J57" s="1" t="s">
        <v>939</v>
      </c>
      <c r="K57" s="1" t="s">
        <v>940</v>
      </c>
      <c r="L57" s="1" t="s">
        <v>941</v>
      </c>
      <c r="M57" s="1" t="s">
        <v>1042</v>
      </c>
    </row>
    <row r="58" spans="1:13" ht="50.75" customHeight="1">
      <c r="A58" s="1" t="s">
        <v>1045</v>
      </c>
      <c r="B58" s="1" t="s">
        <v>194</v>
      </c>
      <c r="C58" s="1" t="s">
        <v>1046</v>
      </c>
      <c r="D58" s="1" t="s">
        <v>935</v>
      </c>
      <c r="E58" s="1" t="s">
        <v>1047</v>
      </c>
      <c r="F58" s="1"/>
      <c r="G58" s="1" t="s">
        <v>937</v>
      </c>
      <c r="H58" s="1" t="s">
        <v>1048</v>
      </c>
      <c r="I58" s="1" t="s">
        <v>1049</v>
      </c>
      <c r="J58" s="1" t="s">
        <v>1029</v>
      </c>
      <c r="K58" s="1" t="s">
        <v>940</v>
      </c>
      <c r="L58" s="1" t="s">
        <v>941</v>
      </c>
      <c r="M58" s="1" t="s">
        <v>1050</v>
      </c>
    </row>
    <row r="59" spans="1:13" ht="50.75" customHeight="1">
      <c r="A59" s="1" t="s">
        <v>1051</v>
      </c>
      <c r="B59" s="1" t="s">
        <v>466</v>
      </c>
      <c r="C59" s="1" t="s">
        <v>1052</v>
      </c>
      <c r="D59" s="1" t="s">
        <v>935</v>
      </c>
      <c r="E59" s="1" t="s">
        <v>1047</v>
      </c>
      <c r="F59" s="1"/>
      <c r="G59" s="1" t="s">
        <v>937</v>
      </c>
      <c r="H59" s="1" t="s">
        <v>1048</v>
      </c>
      <c r="I59" s="1" t="s">
        <v>1049</v>
      </c>
      <c r="J59" s="1" t="s">
        <v>1029</v>
      </c>
      <c r="K59" s="1" t="s">
        <v>940</v>
      </c>
      <c r="L59" s="1" t="s">
        <v>941</v>
      </c>
      <c r="M59" s="1" t="s">
        <v>1050</v>
      </c>
    </row>
    <row r="60" spans="1:13" ht="50.75" customHeight="1">
      <c r="A60" s="1" t="s">
        <v>1053</v>
      </c>
      <c r="B60" s="1" t="s">
        <v>697</v>
      </c>
      <c r="C60" s="1" t="s">
        <v>1046</v>
      </c>
      <c r="D60" s="1" t="s">
        <v>935</v>
      </c>
      <c r="E60" s="1" t="s">
        <v>1047</v>
      </c>
      <c r="F60" s="1"/>
      <c r="G60" s="1" t="s">
        <v>937</v>
      </c>
      <c r="H60" s="1" t="s">
        <v>1048</v>
      </c>
      <c r="I60" s="1" t="s">
        <v>1049</v>
      </c>
      <c r="J60" s="1" t="s">
        <v>1029</v>
      </c>
      <c r="K60" s="1" t="s">
        <v>940</v>
      </c>
      <c r="L60" s="1" t="s">
        <v>941</v>
      </c>
      <c r="M60" s="1" t="s">
        <v>1050</v>
      </c>
    </row>
    <row r="61" spans="1:13" ht="50.75" customHeight="1">
      <c r="A61" s="1" t="s">
        <v>1054</v>
      </c>
      <c r="B61" s="1" t="s">
        <v>714</v>
      </c>
      <c r="C61" s="1" t="s">
        <v>1046</v>
      </c>
      <c r="D61" s="1" t="s">
        <v>935</v>
      </c>
      <c r="E61" s="1" t="s">
        <v>1047</v>
      </c>
      <c r="F61" s="1"/>
      <c r="G61" s="1" t="s">
        <v>937</v>
      </c>
      <c r="H61" s="1" t="s">
        <v>1048</v>
      </c>
      <c r="I61" s="1" t="s">
        <v>1049</v>
      </c>
      <c r="J61" s="1" t="s">
        <v>1029</v>
      </c>
      <c r="K61" s="1" t="s">
        <v>940</v>
      </c>
      <c r="L61" s="1" t="s">
        <v>941</v>
      </c>
      <c r="M61" s="1" t="s">
        <v>1050</v>
      </c>
    </row>
    <row r="62" spans="1:13" ht="50.75" customHeight="1">
      <c r="A62" s="1" t="s">
        <v>1055</v>
      </c>
      <c r="B62" s="1" t="s">
        <v>888</v>
      </c>
      <c r="C62" s="1" t="s">
        <v>1056</v>
      </c>
      <c r="D62" s="1" t="s">
        <v>935</v>
      </c>
      <c r="E62" s="1" t="s">
        <v>1047</v>
      </c>
      <c r="F62" s="1"/>
      <c r="G62" s="1" t="s">
        <v>937</v>
      </c>
      <c r="H62" s="1" t="s">
        <v>1048</v>
      </c>
      <c r="I62" s="1" t="s">
        <v>1049</v>
      </c>
      <c r="J62" s="1" t="s">
        <v>1029</v>
      </c>
      <c r="K62" s="1" t="s">
        <v>940</v>
      </c>
      <c r="L62" s="1" t="s">
        <v>941</v>
      </c>
      <c r="M62" s="1" t="s">
        <v>1050</v>
      </c>
    </row>
    <row r="63" spans="1:13" ht="50.75" customHeight="1">
      <c r="A63" s="1" t="s">
        <v>1057</v>
      </c>
      <c r="B63" s="1" t="s">
        <v>380</v>
      </c>
      <c r="C63" s="1" t="s">
        <v>997</v>
      </c>
      <c r="D63" s="1" t="s">
        <v>935</v>
      </c>
      <c r="E63" s="1" t="s">
        <v>988</v>
      </c>
      <c r="F63" s="1" t="s">
        <v>159</v>
      </c>
      <c r="G63" s="1" t="s">
        <v>990</v>
      </c>
      <c r="H63" s="1" t="s">
        <v>991</v>
      </c>
      <c r="I63" s="1" t="s">
        <v>992</v>
      </c>
      <c r="J63" s="1" t="s">
        <v>939</v>
      </c>
      <c r="K63" s="1" t="s">
        <v>940</v>
      </c>
      <c r="L63" s="1" t="s">
        <v>941</v>
      </c>
      <c r="M63" s="1" t="s">
        <v>1058</v>
      </c>
    </row>
    <row r="64" spans="1:13" ht="50.75" customHeight="1">
      <c r="A64" s="1" t="s">
        <v>1059</v>
      </c>
      <c r="B64" s="1" t="s">
        <v>390</v>
      </c>
      <c r="C64" s="1" t="s">
        <v>934</v>
      </c>
      <c r="D64" s="1" t="s">
        <v>935</v>
      </c>
      <c r="E64" s="1" t="s">
        <v>936</v>
      </c>
      <c r="F64" s="1"/>
      <c r="G64" s="1" t="s">
        <v>937</v>
      </c>
      <c r="H64" s="1" t="s">
        <v>938</v>
      </c>
      <c r="I64" s="1" t="s">
        <v>934</v>
      </c>
      <c r="J64" s="1" t="s">
        <v>939</v>
      </c>
      <c r="K64" s="1" t="s">
        <v>940</v>
      </c>
      <c r="L64" s="1" t="s">
        <v>941</v>
      </c>
      <c r="M64" s="1" t="s">
        <v>1060</v>
      </c>
    </row>
    <row r="65" spans="1:13" ht="50.75" customHeight="1">
      <c r="A65" s="1" t="s">
        <v>1061</v>
      </c>
      <c r="B65" s="1" t="s">
        <v>390</v>
      </c>
      <c r="C65" s="1" t="s">
        <v>962</v>
      </c>
      <c r="D65" s="1" t="s">
        <v>935</v>
      </c>
      <c r="E65" s="1" t="s">
        <v>963</v>
      </c>
      <c r="F65" s="1"/>
      <c r="G65" s="1" t="s">
        <v>937</v>
      </c>
      <c r="H65" s="1" t="s">
        <v>964</v>
      </c>
      <c r="I65" s="1" t="s">
        <v>962</v>
      </c>
      <c r="J65" s="1" t="s">
        <v>939</v>
      </c>
      <c r="K65" s="1" t="s">
        <v>940</v>
      </c>
      <c r="L65" s="1" t="s">
        <v>941</v>
      </c>
      <c r="M65" s="1" t="s">
        <v>1062</v>
      </c>
    </row>
    <row r="66" spans="1:13" ht="50.75" customHeight="1">
      <c r="A66" s="1" t="s">
        <v>1063</v>
      </c>
      <c r="B66" s="1" t="s">
        <v>390</v>
      </c>
      <c r="C66" s="1" t="s">
        <v>973</v>
      </c>
      <c r="D66" s="1" t="s">
        <v>935</v>
      </c>
      <c r="E66" s="1" t="s">
        <v>974</v>
      </c>
      <c r="F66" s="1"/>
      <c r="G66" s="1" t="s">
        <v>937</v>
      </c>
      <c r="H66" s="1" t="s">
        <v>975</v>
      </c>
      <c r="I66" s="1" t="s">
        <v>976</v>
      </c>
      <c r="J66" s="1" t="s">
        <v>939</v>
      </c>
      <c r="K66" s="1" t="s">
        <v>940</v>
      </c>
      <c r="L66" s="1" t="s">
        <v>941</v>
      </c>
      <c r="M66" s="1" t="s">
        <v>1064</v>
      </c>
    </row>
    <row r="67" spans="1:13" ht="50.75" customHeight="1">
      <c r="A67" s="1" t="s">
        <v>1065</v>
      </c>
      <c r="B67" s="1" t="s">
        <v>871</v>
      </c>
      <c r="C67" s="1" t="s">
        <v>934</v>
      </c>
      <c r="D67" s="1" t="s">
        <v>935</v>
      </c>
      <c r="E67" s="1" t="s">
        <v>936</v>
      </c>
      <c r="F67" s="1"/>
      <c r="G67" s="1" t="s">
        <v>937</v>
      </c>
      <c r="H67" s="1" t="s">
        <v>938</v>
      </c>
      <c r="I67" s="1" t="s">
        <v>934</v>
      </c>
      <c r="J67" s="1" t="s">
        <v>939</v>
      </c>
      <c r="K67" s="1" t="s">
        <v>940</v>
      </c>
      <c r="L67" s="1" t="s">
        <v>941</v>
      </c>
      <c r="M67" s="1" t="s">
        <v>1060</v>
      </c>
    </row>
    <row r="68" spans="1:13" ht="50.75" customHeight="1">
      <c r="A68" s="1" t="s">
        <v>1066</v>
      </c>
      <c r="B68" s="1" t="s">
        <v>871</v>
      </c>
      <c r="C68" s="1" t="s">
        <v>962</v>
      </c>
      <c r="D68" s="1" t="s">
        <v>935</v>
      </c>
      <c r="E68" s="1" t="s">
        <v>963</v>
      </c>
      <c r="F68" s="1"/>
      <c r="G68" s="1" t="s">
        <v>937</v>
      </c>
      <c r="H68" s="1" t="s">
        <v>964</v>
      </c>
      <c r="I68" s="1" t="s">
        <v>962</v>
      </c>
      <c r="J68" s="1" t="s">
        <v>939</v>
      </c>
      <c r="K68" s="1" t="s">
        <v>940</v>
      </c>
      <c r="L68" s="1" t="s">
        <v>941</v>
      </c>
      <c r="M68" s="1" t="s">
        <v>1062</v>
      </c>
    </row>
    <row r="69" spans="1:13" ht="50.75" customHeight="1">
      <c r="A69" s="1" t="s">
        <v>1067</v>
      </c>
      <c r="B69" s="1" t="s">
        <v>871</v>
      </c>
      <c r="C69" s="1" t="s">
        <v>973</v>
      </c>
      <c r="D69" s="1" t="s">
        <v>935</v>
      </c>
      <c r="E69" s="1" t="s">
        <v>974</v>
      </c>
      <c r="F69" s="1"/>
      <c r="G69" s="1" t="s">
        <v>937</v>
      </c>
      <c r="H69" s="1" t="s">
        <v>975</v>
      </c>
      <c r="I69" s="1" t="s">
        <v>976</v>
      </c>
      <c r="J69" s="1" t="s">
        <v>939</v>
      </c>
      <c r="K69" s="1" t="s">
        <v>940</v>
      </c>
      <c r="L69" s="1" t="s">
        <v>941</v>
      </c>
      <c r="M69" s="1" t="s">
        <v>1064</v>
      </c>
    </row>
    <row r="70" spans="1:13" ht="50.75" customHeight="1">
      <c r="A70" s="1" t="s">
        <v>1068</v>
      </c>
      <c r="B70" s="1" t="s">
        <v>877</v>
      </c>
      <c r="C70" s="1" t="s">
        <v>934</v>
      </c>
      <c r="D70" s="1" t="s">
        <v>935</v>
      </c>
      <c r="E70" s="1" t="s">
        <v>936</v>
      </c>
      <c r="F70" s="1"/>
      <c r="G70" s="1" t="s">
        <v>937</v>
      </c>
      <c r="H70" s="1" t="s">
        <v>938</v>
      </c>
      <c r="I70" s="1" t="s">
        <v>934</v>
      </c>
      <c r="J70" s="1" t="s">
        <v>939</v>
      </c>
      <c r="K70" s="1" t="s">
        <v>940</v>
      </c>
      <c r="L70" s="1" t="s">
        <v>941</v>
      </c>
      <c r="M70" s="1" t="s">
        <v>1060</v>
      </c>
    </row>
    <row r="71" spans="1:13" ht="50.75" customHeight="1">
      <c r="A71" s="1" t="s">
        <v>1069</v>
      </c>
      <c r="B71" s="1" t="s">
        <v>877</v>
      </c>
      <c r="C71" s="1" t="s">
        <v>962</v>
      </c>
      <c r="D71" s="1" t="s">
        <v>935</v>
      </c>
      <c r="E71" s="1" t="s">
        <v>963</v>
      </c>
      <c r="F71" s="1"/>
      <c r="G71" s="1" t="s">
        <v>937</v>
      </c>
      <c r="H71" s="1" t="s">
        <v>964</v>
      </c>
      <c r="I71" s="1" t="s">
        <v>962</v>
      </c>
      <c r="J71" s="1" t="s">
        <v>939</v>
      </c>
      <c r="K71" s="1" t="s">
        <v>940</v>
      </c>
      <c r="L71" s="1" t="s">
        <v>941</v>
      </c>
      <c r="M71" s="1" t="s">
        <v>1062</v>
      </c>
    </row>
    <row r="72" spans="1:13" ht="50.75" customHeight="1">
      <c r="A72" s="1" t="s">
        <v>1070</v>
      </c>
      <c r="B72" s="1" t="s">
        <v>877</v>
      </c>
      <c r="C72" s="1" t="s">
        <v>973</v>
      </c>
      <c r="D72" s="1" t="s">
        <v>935</v>
      </c>
      <c r="E72" s="1" t="s">
        <v>974</v>
      </c>
      <c r="F72" s="1"/>
      <c r="G72" s="1" t="s">
        <v>937</v>
      </c>
      <c r="H72" s="1" t="s">
        <v>975</v>
      </c>
      <c r="I72" s="1" t="s">
        <v>976</v>
      </c>
      <c r="J72" s="1" t="s">
        <v>939</v>
      </c>
      <c r="K72" s="1" t="s">
        <v>940</v>
      </c>
      <c r="L72" s="1" t="s">
        <v>941</v>
      </c>
      <c r="M72" s="1" t="s">
        <v>1064</v>
      </c>
    </row>
    <row r="73" spans="1:13" ht="50.75" customHeight="1">
      <c r="A73" s="1" t="s">
        <v>1071</v>
      </c>
      <c r="B73" s="1" t="s">
        <v>141</v>
      </c>
      <c r="C73" s="1" t="s">
        <v>1072</v>
      </c>
      <c r="D73" s="1" t="s">
        <v>935</v>
      </c>
      <c r="E73" s="1" t="s">
        <v>1073</v>
      </c>
      <c r="F73" s="1"/>
      <c r="G73" s="1" t="s">
        <v>937</v>
      </c>
      <c r="H73" s="1" t="s">
        <v>1074</v>
      </c>
      <c r="I73" s="1" t="s">
        <v>1075</v>
      </c>
      <c r="J73" s="1" t="s">
        <v>939</v>
      </c>
      <c r="K73" s="1" t="s">
        <v>940</v>
      </c>
      <c r="L73" s="1" t="s">
        <v>1030</v>
      </c>
      <c r="M73" s="1" t="s">
        <v>1076</v>
      </c>
    </row>
    <row r="74" spans="1:13" ht="50.75" customHeight="1">
      <c r="A74" s="1" t="s">
        <v>1077</v>
      </c>
      <c r="B74" s="1" t="s">
        <v>425</v>
      </c>
      <c r="C74" s="1" t="s">
        <v>1072</v>
      </c>
      <c r="D74" s="1" t="s">
        <v>935</v>
      </c>
      <c r="E74" s="1" t="s">
        <v>1073</v>
      </c>
      <c r="F74" s="1"/>
      <c r="G74" s="1" t="s">
        <v>937</v>
      </c>
      <c r="H74" s="1" t="s">
        <v>1074</v>
      </c>
      <c r="I74" s="1" t="s">
        <v>1075</v>
      </c>
      <c r="J74" s="1" t="s">
        <v>939</v>
      </c>
      <c r="K74" s="1" t="s">
        <v>940</v>
      </c>
      <c r="L74" s="1" t="s">
        <v>1030</v>
      </c>
      <c r="M74" s="1" t="s">
        <v>1076</v>
      </c>
    </row>
    <row r="75" spans="1:13" ht="50.75" customHeight="1">
      <c r="A75" s="1" t="s">
        <v>1078</v>
      </c>
      <c r="B75" s="1" t="s">
        <v>648</v>
      </c>
      <c r="C75" s="1" t="s">
        <v>1072</v>
      </c>
      <c r="D75" s="1" t="s">
        <v>935</v>
      </c>
      <c r="E75" s="1" t="s">
        <v>1073</v>
      </c>
      <c r="F75" s="1"/>
      <c r="G75" s="1" t="s">
        <v>937</v>
      </c>
      <c r="H75" s="1" t="s">
        <v>1074</v>
      </c>
      <c r="I75" s="1" t="s">
        <v>1075</v>
      </c>
      <c r="J75" s="1" t="s">
        <v>939</v>
      </c>
      <c r="K75" s="1" t="s">
        <v>940</v>
      </c>
      <c r="L75" s="1" t="s">
        <v>1030</v>
      </c>
      <c r="M75" s="1" t="s">
        <v>1076</v>
      </c>
    </row>
    <row r="76" spans="1:13" ht="50.75" customHeight="1">
      <c r="A76" s="1" t="s">
        <v>1079</v>
      </c>
      <c r="B76" s="1" t="s">
        <v>337</v>
      </c>
      <c r="C76" s="1" t="s">
        <v>997</v>
      </c>
      <c r="D76" s="1" t="s">
        <v>935</v>
      </c>
      <c r="E76" s="1" t="s">
        <v>988</v>
      </c>
      <c r="F76" s="1" t="s">
        <v>284</v>
      </c>
      <c r="G76" s="1" t="s">
        <v>990</v>
      </c>
      <c r="H76" s="1" t="s">
        <v>991</v>
      </c>
      <c r="I76" s="1" t="s">
        <v>992</v>
      </c>
      <c r="J76" s="1" t="s">
        <v>939</v>
      </c>
      <c r="K76" s="1" t="s">
        <v>940</v>
      </c>
      <c r="L76" s="1" t="s">
        <v>941</v>
      </c>
      <c r="M76" s="1" t="s">
        <v>1080</v>
      </c>
    </row>
    <row r="77" spans="1:13" ht="50.75" customHeight="1">
      <c r="A77" s="1" t="s">
        <v>1081</v>
      </c>
      <c r="B77" s="1" t="s">
        <v>744</v>
      </c>
      <c r="C77" s="1" t="s">
        <v>934</v>
      </c>
      <c r="D77" s="1" t="s">
        <v>935</v>
      </c>
      <c r="E77" s="1" t="s">
        <v>936</v>
      </c>
      <c r="F77" s="1"/>
      <c r="G77" s="1" t="s">
        <v>937</v>
      </c>
      <c r="H77" s="1" t="s">
        <v>938</v>
      </c>
      <c r="I77" s="1" t="s">
        <v>934</v>
      </c>
      <c r="J77" s="1" t="s">
        <v>939</v>
      </c>
      <c r="K77" s="1" t="s">
        <v>940</v>
      </c>
      <c r="L77" s="1" t="s">
        <v>941</v>
      </c>
      <c r="M77" s="1" t="s">
        <v>1082</v>
      </c>
    </row>
    <row r="78" spans="1:13" ht="50.75" customHeight="1">
      <c r="A78" s="1" t="s">
        <v>1083</v>
      </c>
      <c r="B78" s="1" t="s">
        <v>744</v>
      </c>
      <c r="C78" s="1" t="s">
        <v>962</v>
      </c>
      <c r="D78" s="1" t="s">
        <v>935</v>
      </c>
      <c r="E78" s="1" t="s">
        <v>963</v>
      </c>
      <c r="F78" s="1"/>
      <c r="G78" s="1" t="s">
        <v>937</v>
      </c>
      <c r="H78" s="1" t="s">
        <v>964</v>
      </c>
      <c r="I78" s="1" t="s">
        <v>962</v>
      </c>
      <c r="J78" s="1" t="s">
        <v>939</v>
      </c>
      <c r="K78" s="1" t="s">
        <v>940</v>
      </c>
      <c r="L78" s="1" t="s">
        <v>941</v>
      </c>
      <c r="M78" s="1" t="s">
        <v>1084</v>
      </c>
    </row>
    <row r="79" spans="1:13" ht="50.75" customHeight="1">
      <c r="A79" s="1" t="s">
        <v>1085</v>
      </c>
      <c r="B79" s="1" t="s">
        <v>744</v>
      </c>
      <c r="C79" s="1" t="s">
        <v>1046</v>
      </c>
      <c r="D79" s="1" t="s">
        <v>935</v>
      </c>
      <c r="E79" s="1" t="s">
        <v>1047</v>
      </c>
      <c r="F79" s="1"/>
      <c r="G79" s="1" t="s">
        <v>937</v>
      </c>
      <c r="H79" s="1" t="s">
        <v>1048</v>
      </c>
      <c r="I79" s="1" t="s">
        <v>1049</v>
      </c>
      <c r="J79" s="1" t="s">
        <v>1029</v>
      </c>
      <c r="K79" s="1" t="s">
        <v>940</v>
      </c>
      <c r="L79" s="1" t="s">
        <v>941</v>
      </c>
      <c r="M79" s="1" t="s">
        <v>1086</v>
      </c>
    </row>
  </sheetData>
  <phoneticPr fontId="9" type="noConversion"/>
  <conditionalFormatting sqref="L2:L53">
    <cfRule type="expression" dxfId="15" priority="1">
      <formula>$L2="Active"</formula>
    </cfRule>
    <cfRule type="expression" dxfId="14" priority="2">
      <formula>$L2="Pending_GEN_Update"</formula>
    </cfRule>
  </conditionalFormatting>
  <conditionalFormatting sqref="L2:L54">
    <cfRule type="expression" dxfId="13" priority="3">
      <formula>$L2="Active"</formula>
    </cfRule>
    <cfRule type="expression" dxfId="12" priority="4">
      <formula>$L2="Pending_GEN_Update"</formula>
    </cfRule>
  </conditionalFormatting>
  <conditionalFormatting sqref="L2:L71">
    <cfRule type="expression" dxfId="11" priority="5">
      <formula>$L2="Active"</formula>
    </cfRule>
    <cfRule type="expression" dxfId="10" priority="6">
      <formula>$L2="Pending_GEN_Update"</formula>
    </cfRule>
  </conditionalFormatting>
  <dataValidations count="5">
    <dataValidation type="list" sqref="D2:D79" xr:uid="{00000000-0002-0000-0200-000000000000}">
      <formula1>"GEN_TO_S1,S1_TO_GEN"</formula1>
    </dataValidation>
    <dataValidation type="list" sqref="G2:G79" xr:uid="{00000000-0002-0000-0200-000001000000}">
      <formula1>"direct,aggregation,unit_conversion,derivation"</formula1>
    </dataValidation>
    <dataValidation type="list" sqref="J2:J79" xr:uid="{00000000-0002-0000-0200-000002000000}">
      <formula1>"one_to_one,one_to_many,many_to_one"</formula1>
    </dataValidation>
    <dataValidation type="list" sqref="L2:L79" xr:uid="{00000000-0002-0000-0200-000003000000}">
      <formula1>"Active,Pending_GEN_Update,Deprecated"</formula1>
    </dataValidation>
    <dataValidation type="list" sqref="E2:E79" xr:uid="{00000000-0002-0000-0200-000011000000}">
      <formula1>"inventory_fk,facility_fk,reporting_period_fk,scope,gwp_basis,scope1_rollup_output,scope1_co2e_derivation,biogenic_output,allocation_input,allocated_activity_input,emission_factor_methodology_fk"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0"/>
  <sheetViews>
    <sheetView workbookViewId="0"/>
  </sheetViews>
  <sheetFormatPr baseColWidth="10" defaultColWidth="8.83203125" defaultRowHeight="14"/>
  <cols>
    <col min="1" max="1" width="13" customWidth="1"/>
    <col min="2" max="2" width="15" customWidth="1"/>
    <col min="3" max="3" width="35" customWidth="1"/>
    <col min="4" max="4" width="56" customWidth="1"/>
    <col min="5" max="5" width="31" customWidth="1"/>
    <col min="6" max="6" width="68" customWidth="1"/>
    <col min="7" max="7" width="72" customWidth="1"/>
    <col min="8" max="8" width="58" customWidth="1"/>
    <col min="9" max="9" width="15" customWidth="1"/>
  </cols>
  <sheetData>
    <row r="1" spans="1:9" ht="28">
      <c r="A1" s="6" t="s">
        <v>1087</v>
      </c>
      <c r="B1" s="6" t="s">
        <v>92</v>
      </c>
      <c r="C1" s="6" t="s">
        <v>93</v>
      </c>
      <c r="D1" s="6" t="s">
        <v>1088</v>
      </c>
      <c r="E1" s="6" t="s">
        <v>1089</v>
      </c>
      <c r="F1" s="6" t="s">
        <v>1090</v>
      </c>
      <c r="G1" s="6" t="s">
        <v>1091</v>
      </c>
      <c r="H1" s="6" t="s">
        <v>103</v>
      </c>
      <c r="I1" s="6" t="s">
        <v>931</v>
      </c>
    </row>
    <row r="2" spans="1:9" ht="54.75" customHeight="1">
      <c r="A2" s="1" t="s">
        <v>1092</v>
      </c>
      <c r="B2" s="1" t="s">
        <v>1093</v>
      </c>
      <c r="C2" s="1" t="s">
        <v>1093</v>
      </c>
      <c r="D2" s="1" t="s">
        <v>103</v>
      </c>
      <c r="E2" s="1" t="s">
        <v>1094</v>
      </c>
      <c r="F2" s="1" t="s">
        <v>1095</v>
      </c>
      <c r="G2" s="1" t="s">
        <v>1096</v>
      </c>
      <c r="H2" s="1" t="s">
        <v>1097</v>
      </c>
      <c r="I2" s="1" t="s">
        <v>1098</v>
      </c>
    </row>
    <row r="3" spans="1:9" ht="54.75" customHeight="1">
      <c r="A3" s="1" t="s">
        <v>1099</v>
      </c>
      <c r="B3" s="1" t="s">
        <v>1093</v>
      </c>
      <c r="C3" s="1" t="s">
        <v>1093</v>
      </c>
      <c r="D3" s="1" t="s">
        <v>1100</v>
      </c>
      <c r="E3" s="1" t="s">
        <v>1101</v>
      </c>
      <c r="F3" s="1" t="s">
        <v>1102</v>
      </c>
      <c r="G3" s="1" t="s">
        <v>1103</v>
      </c>
      <c r="H3" s="1" t="s">
        <v>1104</v>
      </c>
      <c r="I3" s="1" t="s">
        <v>1098</v>
      </c>
    </row>
    <row r="4" spans="1:9" ht="54.75" customHeight="1">
      <c r="A4" s="1" t="s">
        <v>1105</v>
      </c>
      <c r="B4" s="1" t="s">
        <v>1093</v>
      </c>
      <c r="C4" s="1" t="s">
        <v>1093</v>
      </c>
      <c r="D4" s="1" t="s">
        <v>1106</v>
      </c>
      <c r="E4" s="1" t="s">
        <v>1107</v>
      </c>
      <c r="F4" s="1" t="s">
        <v>1108</v>
      </c>
      <c r="G4" s="1" t="s">
        <v>1109</v>
      </c>
      <c r="H4" s="1" t="s">
        <v>1110</v>
      </c>
      <c r="I4" s="1" t="s">
        <v>1098</v>
      </c>
    </row>
    <row r="5" spans="1:9" ht="54.75" customHeight="1">
      <c r="A5" s="1" t="s">
        <v>1111</v>
      </c>
      <c r="B5" s="1" t="s">
        <v>107</v>
      </c>
      <c r="C5" s="1" t="s">
        <v>155</v>
      </c>
      <c r="D5" s="1" t="s">
        <v>1112</v>
      </c>
      <c r="E5" s="1" t="s">
        <v>1113</v>
      </c>
      <c r="F5" s="1" t="s">
        <v>1114</v>
      </c>
      <c r="G5" s="1" t="s">
        <v>1115</v>
      </c>
      <c r="H5" s="1" t="s">
        <v>176</v>
      </c>
      <c r="I5" s="1" t="s">
        <v>1098</v>
      </c>
    </row>
    <row r="6" spans="1:9" ht="54.75" customHeight="1">
      <c r="A6" s="1" t="s">
        <v>1116</v>
      </c>
      <c r="B6" s="1" t="s">
        <v>107</v>
      </c>
      <c r="C6" s="1" t="s">
        <v>180</v>
      </c>
      <c r="D6" s="1" t="s">
        <v>1117</v>
      </c>
      <c r="E6" s="1" t="s">
        <v>1118</v>
      </c>
      <c r="F6" s="1" t="s">
        <v>1119</v>
      </c>
      <c r="G6" s="1" t="s">
        <v>1120</v>
      </c>
      <c r="H6" s="1" t="s">
        <v>186</v>
      </c>
      <c r="I6" s="1" t="s">
        <v>1098</v>
      </c>
    </row>
    <row r="7" spans="1:9" ht="54.75" customHeight="1">
      <c r="A7" s="1" t="s">
        <v>1121</v>
      </c>
      <c r="B7" s="1" t="s">
        <v>107</v>
      </c>
      <c r="C7" s="1" t="s">
        <v>245</v>
      </c>
      <c r="D7" s="1" t="s">
        <v>1122</v>
      </c>
      <c r="E7" s="1" t="s">
        <v>1118</v>
      </c>
      <c r="F7" s="1" t="s">
        <v>1123</v>
      </c>
      <c r="G7" s="1" t="s">
        <v>1124</v>
      </c>
      <c r="H7" s="1" t="s">
        <v>251</v>
      </c>
      <c r="I7" s="1" t="s">
        <v>1098</v>
      </c>
    </row>
    <row r="8" spans="1:9" ht="54.75" customHeight="1">
      <c r="A8" s="1" t="s">
        <v>1125</v>
      </c>
      <c r="B8" s="1" t="s">
        <v>407</v>
      </c>
      <c r="C8" s="1" t="s">
        <v>1126</v>
      </c>
      <c r="D8" s="1" t="s">
        <v>1127</v>
      </c>
      <c r="E8" s="1" t="s">
        <v>1128</v>
      </c>
      <c r="F8" s="1" t="s">
        <v>1129</v>
      </c>
      <c r="G8" s="1" t="s">
        <v>1130</v>
      </c>
      <c r="H8" s="1" t="s">
        <v>452</v>
      </c>
      <c r="I8" s="1" t="s">
        <v>1098</v>
      </c>
    </row>
    <row r="9" spans="1:9" ht="54.75" customHeight="1">
      <c r="A9" s="1" t="s">
        <v>1131</v>
      </c>
      <c r="B9" s="1" t="s">
        <v>407</v>
      </c>
      <c r="C9" s="1" t="s">
        <v>245</v>
      </c>
      <c r="D9" s="1" t="s">
        <v>1132</v>
      </c>
      <c r="E9" s="1" t="s">
        <v>1118</v>
      </c>
      <c r="F9" s="1" t="s">
        <v>1133</v>
      </c>
      <c r="G9" s="1" t="s">
        <v>1134</v>
      </c>
      <c r="H9" s="1" t="s">
        <v>1135</v>
      </c>
      <c r="I9" s="1" t="s">
        <v>1098</v>
      </c>
    </row>
    <row r="10" spans="1:9" ht="54.75" customHeight="1">
      <c r="A10" s="1" t="s">
        <v>1136</v>
      </c>
      <c r="B10" s="1" t="s">
        <v>632</v>
      </c>
      <c r="C10" s="1" t="s">
        <v>634</v>
      </c>
      <c r="D10" s="1" t="s">
        <v>1137</v>
      </c>
      <c r="E10" s="1" t="s">
        <v>1138</v>
      </c>
      <c r="F10" s="1" t="s">
        <v>1139</v>
      </c>
      <c r="G10" s="1" t="s">
        <v>1140</v>
      </c>
      <c r="H10" s="1" t="s">
        <v>1141</v>
      </c>
      <c r="I10" s="1" t="s">
        <v>1098</v>
      </c>
    </row>
    <row r="11" spans="1:9" ht="54.75" customHeight="1">
      <c r="A11" s="1" t="s">
        <v>1142</v>
      </c>
      <c r="B11" s="1" t="s">
        <v>632</v>
      </c>
      <c r="C11" s="1" t="s">
        <v>679</v>
      </c>
      <c r="D11" s="1" t="s">
        <v>1143</v>
      </c>
      <c r="E11" s="1" t="s">
        <v>1144</v>
      </c>
      <c r="F11" s="1" t="s">
        <v>1145</v>
      </c>
      <c r="G11" s="1" t="s">
        <v>1146</v>
      </c>
      <c r="H11" s="1" t="s">
        <v>1147</v>
      </c>
      <c r="I11" s="1" t="s">
        <v>1098</v>
      </c>
    </row>
    <row r="12" spans="1:9" ht="54.75" customHeight="1">
      <c r="A12" s="1" t="s">
        <v>1148</v>
      </c>
      <c r="B12" s="1" t="s">
        <v>632</v>
      </c>
      <c r="C12" s="1" t="s">
        <v>803</v>
      </c>
      <c r="D12" s="1" t="s">
        <v>1149</v>
      </c>
      <c r="E12" s="1" t="s">
        <v>1118</v>
      </c>
      <c r="F12" s="1" t="s">
        <v>1150</v>
      </c>
      <c r="G12" s="1" t="s">
        <v>1151</v>
      </c>
      <c r="H12" s="1" t="s">
        <v>814</v>
      </c>
      <c r="I12" s="1" t="s">
        <v>1098</v>
      </c>
    </row>
    <row r="13" spans="1:9" ht="54.75" customHeight="1">
      <c r="A13" s="1" t="s">
        <v>1152</v>
      </c>
      <c r="B13" s="1" t="s">
        <v>632</v>
      </c>
      <c r="C13" s="1" t="s">
        <v>1153</v>
      </c>
      <c r="D13" s="1" t="s">
        <v>1154</v>
      </c>
      <c r="E13" s="1" t="s">
        <v>1155</v>
      </c>
      <c r="F13" s="1" t="s">
        <v>1156</v>
      </c>
      <c r="G13" s="1" t="s">
        <v>1157</v>
      </c>
      <c r="H13" s="1" t="s">
        <v>1158</v>
      </c>
      <c r="I13" s="1" t="s">
        <v>1159</v>
      </c>
    </row>
    <row r="14" spans="1:9" ht="54.75" customHeight="1">
      <c r="A14" s="1" t="s">
        <v>1160</v>
      </c>
      <c r="B14" s="1" t="s">
        <v>889</v>
      </c>
      <c r="C14" s="1" t="s">
        <v>1161</v>
      </c>
      <c r="D14" s="1" t="s">
        <v>1162</v>
      </c>
      <c r="E14" s="1" t="s">
        <v>1163</v>
      </c>
      <c r="F14" s="1" t="s">
        <v>1164</v>
      </c>
      <c r="G14" s="1" t="s">
        <v>1165</v>
      </c>
      <c r="H14" s="1" t="s">
        <v>1166</v>
      </c>
      <c r="I14" s="1" t="s">
        <v>1167</v>
      </c>
    </row>
    <row r="15" spans="1:9" ht="54.75" customHeight="1">
      <c r="A15" s="1" t="s">
        <v>1168</v>
      </c>
      <c r="B15" s="1" t="s">
        <v>1093</v>
      </c>
      <c r="C15" s="1" t="s">
        <v>1093</v>
      </c>
      <c r="D15" s="1" t="s">
        <v>1169</v>
      </c>
      <c r="E15" s="1" t="s">
        <v>1170</v>
      </c>
      <c r="F15" s="1" t="s">
        <v>1171</v>
      </c>
      <c r="G15" s="1" t="s">
        <v>1172</v>
      </c>
      <c r="H15" s="1" t="s">
        <v>1173</v>
      </c>
      <c r="I15" s="1" t="s">
        <v>1098</v>
      </c>
    </row>
    <row r="16" spans="1:9" ht="54.75" customHeight="1">
      <c r="A16" s="1" t="s">
        <v>1174</v>
      </c>
      <c r="B16" s="1" t="s">
        <v>1093</v>
      </c>
      <c r="C16" s="1" t="s">
        <v>1093</v>
      </c>
      <c r="D16" s="1" t="s">
        <v>1175</v>
      </c>
      <c r="E16" s="1" t="s">
        <v>1176</v>
      </c>
      <c r="F16" s="1" t="s">
        <v>1177</v>
      </c>
      <c r="G16" s="1" t="s">
        <v>1178</v>
      </c>
      <c r="H16" s="1" t="s">
        <v>1179</v>
      </c>
      <c r="I16" s="1" t="s">
        <v>1098</v>
      </c>
    </row>
    <row r="17" spans="1:9" ht="54.75" customHeight="1">
      <c r="A17" s="1" t="s">
        <v>1180</v>
      </c>
      <c r="B17" s="1" t="s">
        <v>1093</v>
      </c>
      <c r="C17" s="1" t="s">
        <v>1093</v>
      </c>
      <c r="D17" s="1" t="s">
        <v>1181</v>
      </c>
      <c r="E17" s="1" t="s">
        <v>1182</v>
      </c>
      <c r="F17" s="1" t="s">
        <v>1183</v>
      </c>
      <c r="G17" s="1" t="s">
        <v>1184</v>
      </c>
      <c r="H17" s="1" t="s">
        <v>1185</v>
      </c>
      <c r="I17" s="1" t="s">
        <v>1098</v>
      </c>
    </row>
    <row r="18" spans="1:9" ht="54.75" customHeight="1">
      <c r="A18" s="1" t="s">
        <v>1186</v>
      </c>
      <c r="B18" s="1" t="s">
        <v>632</v>
      </c>
      <c r="C18" s="1" t="s">
        <v>679</v>
      </c>
      <c r="D18" s="1" t="s">
        <v>1187</v>
      </c>
      <c r="E18" s="1" t="s">
        <v>1188</v>
      </c>
      <c r="F18" s="1" t="s">
        <v>1189</v>
      </c>
      <c r="G18" s="1" t="s">
        <v>1190</v>
      </c>
      <c r="H18" s="1" t="s">
        <v>1191</v>
      </c>
      <c r="I18" s="1" t="s">
        <v>1159</v>
      </c>
    </row>
    <row r="19" spans="1:9" ht="54.75" customHeight="1">
      <c r="A19" s="1" t="s">
        <v>1192</v>
      </c>
      <c r="B19" s="1" t="s">
        <v>1093</v>
      </c>
      <c r="C19" s="1" t="s">
        <v>1093</v>
      </c>
      <c r="D19" s="1" t="s">
        <v>1193</v>
      </c>
      <c r="E19" s="1" t="s">
        <v>1194</v>
      </c>
      <c r="F19" s="1" t="s">
        <v>1195</v>
      </c>
      <c r="G19" s="1" t="s">
        <v>1196</v>
      </c>
      <c r="H19" s="1" t="s">
        <v>1197</v>
      </c>
      <c r="I19" s="1" t="s">
        <v>1098</v>
      </c>
    </row>
    <row r="20" spans="1:9" ht="54.75" customHeight="1">
      <c r="A20" s="1" t="s">
        <v>1198</v>
      </c>
      <c r="B20" s="1" t="s">
        <v>1093</v>
      </c>
      <c r="C20" s="1" t="s">
        <v>1093</v>
      </c>
      <c r="D20" s="1" t="s">
        <v>1199</v>
      </c>
      <c r="E20" s="1" t="s">
        <v>1200</v>
      </c>
      <c r="F20" s="1" t="s">
        <v>1201</v>
      </c>
      <c r="G20" s="1" t="s">
        <v>1202</v>
      </c>
      <c r="H20" s="1" t="s">
        <v>1203</v>
      </c>
      <c r="I20" s="1" t="s">
        <v>1098</v>
      </c>
    </row>
    <row r="21" spans="1:9" ht="54.75" customHeight="1">
      <c r="A21" s="1" t="s">
        <v>1204</v>
      </c>
      <c r="B21" s="1" t="s">
        <v>1093</v>
      </c>
      <c r="C21" s="1" t="s">
        <v>1093</v>
      </c>
      <c r="D21" s="1" t="s">
        <v>1205</v>
      </c>
      <c r="E21" s="1" t="s">
        <v>1206</v>
      </c>
      <c r="F21" s="1" t="s">
        <v>1207</v>
      </c>
      <c r="G21" s="1" t="s">
        <v>1208</v>
      </c>
      <c r="H21" s="1" t="s">
        <v>1209</v>
      </c>
      <c r="I21" s="1" t="s">
        <v>1098</v>
      </c>
    </row>
    <row r="22" spans="1:9" ht="54.75" customHeight="1">
      <c r="A22" s="1" t="s">
        <v>1210</v>
      </c>
      <c r="B22" s="1" t="s">
        <v>1093</v>
      </c>
      <c r="C22" s="1" t="s">
        <v>1093</v>
      </c>
      <c r="D22" s="1" t="s">
        <v>1211</v>
      </c>
      <c r="E22" s="1" t="s">
        <v>1212</v>
      </c>
      <c r="F22" s="1" t="s">
        <v>1213</v>
      </c>
      <c r="G22" s="1" t="s">
        <v>1214</v>
      </c>
      <c r="H22" s="1" t="s">
        <v>1215</v>
      </c>
      <c r="I22" s="1" t="s">
        <v>1159</v>
      </c>
    </row>
    <row r="23" spans="1:9" ht="54.75" customHeight="1">
      <c r="A23" s="1" t="s">
        <v>1216</v>
      </c>
      <c r="B23" s="1" t="s">
        <v>1093</v>
      </c>
      <c r="C23" s="1" t="s">
        <v>1093</v>
      </c>
      <c r="D23" s="1" t="s">
        <v>1217</v>
      </c>
      <c r="E23" s="1" t="s">
        <v>1218</v>
      </c>
      <c r="F23" s="1" t="s">
        <v>1219</v>
      </c>
      <c r="G23" s="1" t="s">
        <v>1220</v>
      </c>
      <c r="H23" s="1" t="s">
        <v>1221</v>
      </c>
      <c r="I23" s="1" t="s">
        <v>1098</v>
      </c>
    </row>
    <row r="24" spans="1:9" ht="54.75" customHeight="1">
      <c r="A24" s="1" t="s">
        <v>1222</v>
      </c>
      <c r="B24" s="1" t="s">
        <v>1093</v>
      </c>
      <c r="C24" s="1" t="s">
        <v>1093</v>
      </c>
      <c r="D24" s="1" t="s">
        <v>1223</v>
      </c>
      <c r="E24" s="1" t="s">
        <v>1224</v>
      </c>
      <c r="F24" s="1" t="s">
        <v>1225</v>
      </c>
      <c r="G24" s="1" t="s">
        <v>1226</v>
      </c>
      <c r="H24" s="1" t="s">
        <v>1227</v>
      </c>
      <c r="I24" s="1" t="s">
        <v>1098</v>
      </c>
    </row>
    <row r="25" spans="1:9" ht="54.75" customHeight="1">
      <c r="A25" s="1" t="s">
        <v>1228</v>
      </c>
      <c r="B25" s="1" t="s">
        <v>632</v>
      </c>
      <c r="C25" s="1" t="s">
        <v>679</v>
      </c>
      <c r="D25" s="1" t="s">
        <v>1229</v>
      </c>
      <c r="E25" s="1" t="s">
        <v>1230</v>
      </c>
      <c r="F25" s="1" t="s">
        <v>1231</v>
      </c>
      <c r="G25" s="1" t="s">
        <v>1232</v>
      </c>
      <c r="H25" s="1" t="s">
        <v>1233</v>
      </c>
      <c r="I25" s="1" t="s">
        <v>1159</v>
      </c>
    </row>
    <row r="26" spans="1:9" ht="54.75" customHeight="1">
      <c r="A26" s="1" t="s">
        <v>1234</v>
      </c>
      <c r="B26" s="1" t="s">
        <v>1093</v>
      </c>
      <c r="C26" s="1" t="s">
        <v>1093</v>
      </c>
      <c r="D26" s="1" t="s">
        <v>37</v>
      </c>
      <c r="E26" s="1" t="s">
        <v>1235</v>
      </c>
      <c r="F26" s="1" t="s">
        <v>1236</v>
      </c>
      <c r="G26" s="1" t="s">
        <v>1237</v>
      </c>
      <c r="H26" s="1" t="s">
        <v>1238</v>
      </c>
      <c r="I26" s="1" t="s">
        <v>1098</v>
      </c>
    </row>
    <row r="27" spans="1:9" ht="54.75" customHeight="1">
      <c r="A27" s="1" t="s">
        <v>1239</v>
      </c>
      <c r="B27" s="1" t="s">
        <v>1093</v>
      </c>
      <c r="C27" s="1" t="s">
        <v>1093</v>
      </c>
      <c r="D27" s="1" t="s">
        <v>930</v>
      </c>
      <c r="E27" s="1" t="s">
        <v>1240</v>
      </c>
      <c r="F27" s="1" t="s">
        <v>1241</v>
      </c>
      <c r="G27" s="1" t="s">
        <v>1242</v>
      </c>
      <c r="H27" s="1" t="s">
        <v>1243</v>
      </c>
      <c r="I27" s="1" t="s">
        <v>1159</v>
      </c>
    </row>
    <row r="28" spans="1:9" ht="54.75" customHeight="1">
      <c r="A28" s="1" t="s">
        <v>1244</v>
      </c>
      <c r="B28" s="1" t="s">
        <v>1093</v>
      </c>
      <c r="C28" s="1" t="s">
        <v>1093</v>
      </c>
      <c r="D28" s="1" t="s">
        <v>1245</v>
      </c>
      <c r="E28" s="1" t="s">
        <v>1200</v>
      </c>
      <c r="F28" s="1" t="s">
        <v>1246</v>
      </c>
      <c r="G28" s="1" t="s">
        <v>1247</v>
      </c>
      <c r="H28" s="1" t="s">
        <v>1248</v>
      </c>
      <c r="I28" s="1" t="s">
        <v>1098</v>
      </c>
    </row>
    <row r="29" spans="1:9" ht="54.75" customHeight="1">
      <c r="A29" s="1" t="s">
        <v>1249</v>
      </c>
      <c r="B29" s="1" t="s">
        <v>1093</v>
      </c>
      <c r="C29" s="1" t="s">
        <v>1093</v>
      </c>
      <c r="D29" s="1" t="s">
        <v>1250</v>
      </c>
      <c r="E29" s="1" t="s">
        <v>1251</v>
      </c>
      <c r="F29" s="1" t="s">
        <v>1252</v>
      </c>
      <c r="G29" s="1" t="s">
        <v>1253</v>
      </c>
      <c r="H29" s="1" t="s">
        <v>1254</v>
      </c>
      <c r="I29" s="1" t="s">
        <v>1098</v>
      </c>
    </row>
    <row r="30" spans="1:9" ht="54.75" customHeight="1">
      <c r="A30" s="1" t="s">
        <v>1255</v>
      </c>
      <c r="B30" s="1" t="s">
        <v>1093</v>
      </c>
      <c r="C30" s="1" t="s">
        <v>1093</v>
      </c>
      <c r="D30" s="1" t="s">
        <v>1256</v>
      </c>
      <c r="E30" s="1" t="s">
        <v>1257</v>
      </c>
      <c r="F30" s="1" t="s">
        <v>1258</v>
      </c>
      <c r="G30" s="1" t="s">
        <v>1259</v>
      </c>
      <c r="H30" s="1" t="s">
        <v>1260</v>
      </c>
      <c r="I30" s="1" t="s">
        <v>1098</v>
      </c>
    </row>
    <row r="31" spans="1:9" ht="54.75" customHeight="1">
      <c r="A31" s="1" t="s">
        <v>1261</v>
      </c>
      <c r="B31" s="1" t="s">
        <v>1262</v>
      </c>
      <c r="C31" s="1" t="s">
        <v>1263</v>
      </c>
      <c r="D31" s="1" t="s">
        <v>1264</v>
      </c>
      <c r="E31" s="1" t="s">
        <v>1265</v>
      </c>
      <c r="F31" s="1" t="s">
        <v>1266</v>
      </c>
      <c r="G31" s="1" t="s">
        <v>1267</v>
      </c>
      <c r="H31" s="1" t="s">
        <v>1268</v>
      </c>
      <c r="I31" s="1" t="s">
        <v>1098</v>
      </c>
    </row>
    <row r="32" spans="1:9" ht="54.75" customHeight="1">
      <c r="A32" s="1" t="s">
        <v>1269</v>
      </c>
      <c r="B32" s="1" t="s">
        <v>632</v>
      </c>
      <c r="C32" s="1" t="s">
        <v>1270</v>
      </c>
      <c r="D32" s="1" t="s">
        <v>1271</v>
      </c>
      <c r="E32" s="1" t="s">
        <v>1272</v>
      </c>
      <c r="F32" s="1" t="s">
        <v>1273</v>
      </c>
      <c r="G32" s="1" t="s">
        <v>1274</v>
      </c>
      <c r="H32" s="1" t="s">
        <v>1275</v>
      </c>
      <c r="I32" s="1" t="s">
        <v>1098</v>
      </c>
    </row>
    <row r="33" spans="1:9" ht="54.75" customHeight="1">
      <c r="A33" s="1" t="s">
        <v>1276</v>
      </c>
      <c r="B33" s="1" t="s">
        <v>1093</v>
      </c>
      <c r="C33" s="1" t="s">
        <v>1093</v>
      </c>
      <c r="D33" s="1" t="s">
        <v>37</v>
      </c>
      <c r="E33" s="1" t="s">
        <v>1277</v>
      </c>
      <c r="F33" s="1" t="s">
        <v>1278</v>
      </c>
      <c r="G33" s="1" t="s">
        <v>1279</v>
      </c>
      <c r="H33" s="1" t="s">
        <v>1280</v>
      </c>
      <c r="I33" s="1" t="s">
        <v>1098</v>
      </c>
    </row>
    <row r="34" spans="1:9" ht="54.75" customHeight="1">
      <c r="A34" s="1" t="s">
        <v>1281</v>
      </c>
      <c r="B34" s="1" t="s">
        <v>1282</v>
      </c>
      <c r="C34" s="1" t="s">
        <v>135</v>
      </c>
      <c r="D34" s="1" t="s">
        <v>1283</v>
      </c>
      <c r="E34" s="1" t="s">
        <v>1284</v>
      </c>
      <c r="F34" s="1" t="s">
        <v>1285</v>
      </c>
      <c r="G34" s="1" t="s">
        <v>1286</v>
      </c>
      <c r="H34" s="1" t="s">
        <v>1287</v>
      </c>
      <c r="I34" s="1" t="s">
        <v>1159</v>
      </c>
    </row>
    <row r="35" spans="1:9" ht="54.75" customHeight="1">
      <c r="A35" s="1" t="s">
        <v>1288</v>
      </c>
      <c r="B35" s="1" t="s">
        <v>1093</v>
      </c>
      <c r="C35" s="1" t="s">
        <v>1093</v>
      </c>
      <c r="D35" s="1" t="s">
        <v>1289</v>
      </c>
      <c r="E35" s="1" t="s">
        <v>1290</v>
      </c>
      <c r="F35" s="1" t="s">
        <v>1291</v>
      </c>
      <c r="G35" s="1" t="s">
        <v>1292</v>
      </c>
      <c r="H35" s="1" t="s">
        <v>1293</v>
      </c>
      <c r="I35" s="1" t="s">
        <v>1098</v>
      </c>
    </row>
    <row r="36" spans="1:9" ht="54.75" customHeight="1">
      <c r="A36" s="1" t="s">
        <v>1294</v>
      </c>
      <c r="B36" s="1" t="s">
        <v>1093</v>
      </c>
      <c r="C36" s="1" t="s">
        <v>1093</v>
      </c>
      <c r="D36" s="1" t="s">
        <v>1295</v>
      </c>
      <c r="E36" s="1" t="s">
        <v>1296</v>
      </c>
      <c r="F36" s="1" t="s">
        <v>1297</v>
      </c>
      <c r="G36" s="1" t="s">
        <v>1298</v>
      </c>
      <c r="H36" s="1" t="s">
        <v>1293</v>
      </c>
      <c r="I36" s="1" t="s">
        <v>1098</v>
      </c>
    </row>
    <row r="37" spans="1:9" ht="54.75" customHeight="1">
      <c r="A37" s="1" t="s">
        <v>1299</v>
      </c>
      <c r="B37" s="1" t="s">
        <v>632</v>
      </c>
      <c r="C37" s="1" t="s">
        <v>1300</v>
      </c>
      <c r="D37" s="1" t="s">
        <v>1301</v>
      </c>
      <c r="E37" s="1" t="s">
        <v>1302</v>
      </c>
      <c r="F37" s="1" t="s">
        <v>1303</v>
      </c>
      <c r="G37" s="1" t="s">
        <v>1304</v>
      </c>
      <c r="H37" s="1" t="s">
        <v>1293</v>
      </c>
      <c r="I37" s="1" t="s">
        <v>1098</v>
      </c>
    </row>
    <row r="38" spans="1:9" ht="54.75" customHeight="1">
      <c r="A38" s="1" t="s">
        <v>1305</v>
      </c>
      <c r="B38" s="1" t="s">
        <v>1093</v>
      </c>
      <c r="C38" s="1" t="s">
        <v>1093</v>
      </c>
      <c r="D38" s="1" t="s">
        <v>1306</v>
      </c>
      <c r="E38" s="1" t="s">
        <v>1307</v>
      </c>
      <c r="F38" s="1" t="s">
        <v>1308</v>
      </c>
      <c r="G38" s="1" t="s">
        <v>1309</v>
      </c>
      <c r="H38" s="1" t="s">
        <v>1293</v>
      </c>
      <c r="I38" s="1" t="s">
        <v>1098</v>
      </c>
    </row>
    <row r="39" spans="1:9" ht="54.75" customHeight="1">
      <c r="A39" s="1" t="s">
        <v>1310</v>
      </c>
      <c r="B39" s="1" t="s">
        <v>107</v>
      </c>
      <c r="C39" s="1" t="s">
        <v>258</v>
      </c>
      <c r="D39" s="1" t="s">
        <v>1311</v>
      </c>
      <c r="E39" s="1" t="s">
        <v>1312</v>
      </c>
      <c r="F39" s="1" t="s">
        <v>1313</v>
      </c>
      <c r="G39" s="1" t="s">
        <v>1314</v>
      </c>
      <c r="H39" s="1" t="s">
        <v>1315</v>
      </c>
      <c r="I39" s="1" t="s">
        <v>1159</v>
      </c>
    </row>
    <row r="40" spans="1:9" ht="54.75" customHeight="1">
      <c r="A40" s="1" t="s">
        <v>1316</v>
      </c>
      <c r="B40" s="1" t="s">
        <v>1093</v>
      </c>
      <c r="C40" s="1" t="s">
        <v>1093</v>
      </c>
      <c r="D40" s="1" t="s">
        <v>1317</v>
      </c>
      <c r="E40" s="1" t="s">
        <v>1318</v>
      </c>
      <c r="F40" s="1" t="s">
        <v>1319</v>
      </c>
      <c r="G40" s="1" t="s">
        <v>1320</v>
      </c>
      <c r="H40" s="1" t="s">
        <v>1321</v>
      </c>
      <c r="I40" s="1" t="s">
        <v>1159</v>
      </c>
    </row>
    <row r="41" spans="1:9" ht="54.75" customHeight="1">
      <c r="A41" s="1" t="s">
        <v>1322</v>
      </c>
      <c r="B41" s="1" t="s">
        <v>1093</v>
      </c>
      <c r="C41" s="1" t="s">
        <v>1093</v>
      </c>
      <c r="D41" s="1" t="s">
        <v>1323</v>
      </c>
      <c r="E41" s="1" t="s">
        <v>1324</v>
      </c>
      <c r="F41" s="1" t="s">
        <v>1325</v>
      </c>
      <c r="G41" s="1" t="s">
        <v>1326</v>
      </c>
      <c r="H41" s="1" t="s">
        <v>1327</v>
      </c>
      <c r="I41" s="1" t="s">
        <v>1098</v>
      </c>
    </row>
    <row r="42" spans="1:9" ht="54.75" customHeight="1">
      <c r="A42" s="1" t="s">
        <v>1328</v>
      </c>
      <c r="B42" s="1" t="s">
        <v>107</v>
      </c>
      <c r="C42" s="1" t="s">
        <v>258</v>
      </c>
      <c r="D42" s="1" t="s">
        <v>1329</v>
      </c>
      <c r="E42" s="1" t="s">
        <v>1330</v>
      </c>
      <c r="F42" s="1" t="s">
        <v>1331</v>
      </c>
      <c r="G42" s="1" t="s">
        <v>1332</v>
      </c>
      <c r="H42" s="1" t="s">
        <v>1333</v>
      </c>
      <c r="I42" s="1" t="s">
        <v>1098</v>
      </c>
    </row>
    <row r="43" spans="1:9" ht="54.75" customHeight="1">
      <c r="A43" s="1" t="s">
        <v>1334</v>
      </c>
      <c r="B43" s="1" t="s">
        <v>1093</v>
      </c>
      <c r="C43" s="1" t="s">
        <v>1093</v>
      </c>
      <c r="D43" s="1" t="s">
        <v>1335</v>
      </c>
      <c r="E43" s="1" t="s">
        <v>1336</v>
      </c>
      <c r="F43" s="1" t="s">
        <v>1337</v>
      </c>
      <c r="G43" s="1" t="s">
        <v>1338</v>
      </c>
      <c r="H43" s="1" t="s">
        <v>1333</v>
      </c>
      <c r="I43" s="1" t="s">
        <v>1098</v>
      </c>
    </row>
    <row r="44" spans="1:9" ht="54.75" customHeight="1">
      <c r="A44" s="1" t="s">
        <v>1339</v>
      </c>
      <c r="B44" s="1" t="s">
        <v>407</v>
      </c>
      <c r="C44" s="1" t="s">
        <v>1093</v>
      </c>
      <c r="D44" s="1" t="s">
        <v>1340</v>
      </c>
      <c r="E44" s="1" t="s">
        <v>1341</v>
      </c>
      <c r="F44" s="1" t="s">
        <v>1342</v>
      </c>
      <c r="G44" s="1" t="s">
        <v>1343</v>
      </c>
      <c r="H44" s="1" t="s">
        <v>1344</v>
      </c>
      <c r="I44" s="1" t="s">
        <v>1098</v>
      </c>
    </row>
    <row r="45" spans="1:9" ht="54.75" customHeight="1">
      <c r="A45" s="1" t="s">
        <v>1345</v>
      </c>
      <c r="B45" s="1" t="s">
        <v>632</v>
      </c>
      <c r="C45" s="1" t="s">
        <v>634</v>
      </c>
      <c r="D45" s="1" t="s">
        <v>1346</v>
      </c>
      <c r="E45" s="1" t="s">
        <v>1347</v>
      </c>
      <c r="F45" s="1" t="s">
        <v>1348</v>
      </c>
      <c r="G45" s="1" t="s">
        <v>1349</v>
      </c>
      <c r="H45" s="1" t="s">
        <v>1350</v>
      </c>
      <c r="I45" s="1" t="s">
        <v>1098</v>
      </c>
    </row>
    <row r="46" spans="1:9" ht="54.75" customHeight="1">
      <c r="A46" s="1" t="s">
        <v>1351</v>
      </c>
      <c r="B46" s="1" t="s">
        <v>107</v>
      </c>
      <c r="C46" s="1" t="s">
        <v>1352</v>
      </c>
      <c r="D46" s="1" t="s">
        <v>1353</v>
      </c>
      <c r="E46" s="1" t="s">
        <v>1354</v>
      </c>
      <c r="F46" s="1" t="s">
        <v>1355</v>
      </c>
      <c r="G46" s="1" t="s">
        <v>1356</v>
      </c>
      <c r="H46" s="1" t="s">
        <v>1357</v>
      </c>
      <c r="I46" s="1" t="s">
        <v>1098</v>
      </c>
    </row>
    <row r="47" spans="1:9" ht="54.75" customHeight="1">
      <c r="A47" s="1" t="s">
        <v>1358</v>
      </c>
      <c r="B47" s="1" t="s">
        <v>1093</v>
      </c>
      <c r="C47" s="1" t="s">
        <v>1093</v>
      </c>
      <c r="D47" s="1" t="s">
        <v>1359</v>
      </c>
      <c r="E47" s="1" t="s">
        <v>1360</v>
      </c>
      <c r="F47" s="1" t="s">
        <v>1361</v>
      </c>
      <c r="G47" s="1" t="s">
        <v>1362</v>
      </c>
      <c r="H47" s="1" t="s">
        <v>1363</v>
      </c>
      <c r="I47" s="1" t="s">
        <v>1098</v>
      </c>
    </row>
    <row r="48" spans="1:9" ht="54.75" customHeight="1">
      <c r="A48" s="1" t="s">
        <v>1364</v>
      </c>
      <c r="B48" s="1" t="s">
        <v>107</v>
      </c>
      <c r="C48" s="1" t="s">
        <v>155</v>
      </c>
      <c r="D48" s="1" t="s">
        <v>1365</v>
      </c>
      <c r="E48" s="1" t="s">
        <v>1366</v>
      </c>
      <c r="F48" s="1" t="s">
        <v>1367</v>
      </c>
      <c r="G48" s="1" t="s">
        <v>1368</v>
      </c>
      <c r="H48" s="1" t="s">
        <v>1369</v>
      </c>
      <c r="I48" s="1" t="s">
        <v>1098</v>
      </c>
    </row>
    <row r="49" spans="1:9" ht="54.75" customHeight="1">
      <c r="A49" s="1" t="s">
        <v>1370</v>
      </c>
      <c r="B49" s="1" t="s">
        <v>632</v>
      </c>
      <c r="C49" s="1" t="s">
        <v>1371</v>
      </c>
      <c r="D49" s="1" t="s">
        <v>1372</v>
      </c>
      <c r="E49" s="1" t="s">
        <v>1373</v>
      </c>
      <c r="F49" s="1" t="s">
        <v>1374</v>
      </c>
      <c r="G49" s="1" t="s">
        <v>1375</v>
      </c>
      <c r="H49" s="1" t="s">
        <v>1376</v>
      </c>
      <c r="I49" s="1" t="s">
        <v>1098</v>
      </c>
    </row>
    <row r="50" spans="1:9" ht="54.75" customHeight="1">
      <c r="A50" s="1" t="s">
        <v>1377</v>
      </c>
      <c r="B50" s="1" t="s">
        <v>1093</v>
      </c>
      <c r="C50" s="1" t="s">
        <v>1093</v>
      </c>
      <c r="D50" s="1" t="s">
        <v>1378</v>
      </c>
      <c r="E50" s="1" t="s">
        <v>1379</v>
      </c>
      <c r="F50" s="1" t="s">
        <v>1380</v>
      </c>
      <c r="G50" s="1" t="s">
        <v>1381</v>
      </c>
      <c r="H50" s="1" t="s">
        <v>1382</v>
      </c>
      <c r="I50" s="1" t="s">
        <v>1098</v>
      </c>
    </row>
  </sheetData>
  <phoneticPr fontId="9" type="noConversion"/>
  <conditionalFormatting sqref="I2:I22">
    <cfRule type="expression" dxfId="9" priority="1">
      <formula>$I2="Open"</formula>
    </cfRule>
    <cfRule type="expression" dxfId="8" priority="2">
      <formula>$I2="Deferred"</formula>
    </cfRule>
    <cfRule type="expression" dxfId="7" priority="3">
      <formula>$I2="Applied"</formula>
    </cfRule>
  </conditionalFormatting>
  <conditionalFormatting sqref="I2:I43">
    <cfRule type="expression" dxfId="6" priority="4">
      <formula>$I2="Applied"</formula>
    </cfRule>
    <cfRule type="expression" dxfId="5" priority="5">
      <formula>$I2="Open"</formula>
    </cfRule>
    <cfRule type="expression" dxfId="4" priority="6">
      <formula>$I2="Deferred"</formula>
    </cfRule>
  </conditionalFormatting>
  <dataValidations count="1">
    <dataValidation type="list" sqref="I2:I50" xr:uid="{00000000-0002-0000-0300-000000000000}">
      <formula1>"Applied,Open,Deferred"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N40"/>
  <sheetViews>
    <sheetView workbookViewId="0"/>
  </sheetViews>
  <sheetFormatPr baseColWidth="10" defaultColWidth="8.83203125" defaultRowHeight="14"/>
  <cols>
    <col min="1" max="1" width="18" customWidth="1"/>
    <col min="2" max="2" width="36" customWidth="1"/>
    <col min="3" max="3" width="3" customWidth="1"/>
    <col min="4" max="4" width="46" customWidth="1"/>
    <col min="5" max="5" width="48" customWidth="1"/>
    <col min="6" max="6" width="3" customWidth="1"/>
    <col min="7" max="7" width="31" customWidth="1"/>
    <col min="8" max="8" width="46" customWidth="1"/>
    <col min="9" max="9" width="3" customWidth="1"/>
    <col min="10" max="10" width="25" customWidth="1"/>
    <col min="11" max="11" width="50" customWidth="1"/>
    <col min="12" max="12" width="3" customWidth="1"/>
    <col min="13" max="13" width="24" customWidth="1"/>
    <col min="14" max="14" width="50" customWidth="1"/>
    <col min="15" max="15" width="3" customWidth="1"/>
    <col min="16" max="16" width="22" customWidth="1"/>
    <col min="17" max="17" width="46" customWidth="1"/>
    <col min="18" max="18" width="3" customWidth="1"/>
    <col min="19" max="19" width="20" customWidth="1"/>
    <col min="20" max="20" width="52" customWidth="1"/>
    <col min="21" max="21" width="3" customWidth="1"/>
    <col min="22" max="22" width="28" customWidth="1"/>
    <col min="23" max="23" width="58" customWidth="1"/>
    <col min="24" max="24" width="3" customWidth="1"/>
    <col min="25" max="25" width="24" customWidth="1"/>
    <col min="26" max="26" width="40" customWidth="1"/>
    <col min="27" max="27" width="24" customWidth="1"/>
    <col min="28" max="28" width="62" customWidth="1"/>
    <col min="30" max="30" width="22" customWidth="1"/>
    <col min="31" max="31" width="36" customWidth="1"/>
    <col min="32" max="32" width="68" customWidth="1"/>
    <col min="34" max="34" width="40" customWidth="1"/>
    <col min="35" max="35" width="36" customWidth="1"/>
    <col min="36" max="36" width="68" customWidth="1"/>
    <col min="38" max="38" width="30" customWidth="1"/>
    <col min="39" max="39" width="36" customWidth="1"/>
    <col min="40" max="40" width="70" customWidth="1"/>
  </cols>
  <sheetData>
    <row r="1" spans="1:40">
      <c r="A1" s="3" t="s">
        <v>90</v>
      </c>
      <c r="B1" s="3" t="s">
        <v>1383</v>
      </c>
      <c r="D1" s="3" t="s">
        <v>91</v>
      </c>
      <c r="E1" s="3" t="s">
        <v>1383</v>
      </c>
      <c r="G1" s="3" t="s">
        <v>93</v>
      </c>
      <c r="H1" s="3" t="s">
        <v>1383</v>
      </c>
      <c r="J1" s="2" t="s">
        <v>97</v>
      </c>
      <c r="K1" s="2" t="s">
        <v>1383</v>
      </c>
      <c r="M1" s="2" t="s">
        <v>98</v>
      </c>
      <c r="N1" s="2" t="s">
        <v>1383</v>
      </c>
      <c r="P1" s="2" t="s">
        <v>99</v>
      </c>
      <c r="Q1" s="2" t="s">
        <v>1383</v>
      </c>
      <c r="S1" s="2" t="s">
        <v>100</v>
      </c>
      <c r="T1" s="2" t="s">
        <v>1383</v>
      </c>
      <c r="V1" s="6" t="s">
        <v>1384</v>
      </c>
      <c r="W1" s="6" t="s">
        <v>57</v>
      </c>
      <c r="Y1" s="2" t="s">
        <v>1385</v>
      </c>
      <c r="Z1" s="2" t="s">
        <v>1386</v>
      </c>
      <c r="AA1" s="2" t="s">
        <v>1387</v>
      </c>
      <c r="AB1" s="2" t="s">
        <v>1388</v>
      </c>
      <c r="AD1" s="5" t="s">
        <v>1389</v>
      </c>
      <c r="AE1" s="5" t="s">
        <v>1390</v>
      </c>
      <c r="AF1" s="5" t="s">
        <v>1383</v>
      </c>
      <c r="AH1" s="6" t="s">
        <v>1391</v>
      </c>
      <c r="AI1" s="6" t="s">
        <v>1392</v>
      </c>
      <c r="AJ1" s="6" t="s">
        <v>1383</v>
      </c>
      <c r="AL1" s="6" t="s">
        <v>1393</v>
      </c>
      <c r="AM1" s="6" t="s">
        <v>1390</v>
      </c>
      <c r="AN1" s="6" t="s">
        <v>1383</v>
      </c>
    </row>
    <row r="2" spans="1:40">
      <c r="A2" s="1" t="s">
        <v>107</v>
      </c>
      <c r="B2" s="1" t="s">
        <v>1394</v>
      </c>
      <c r="C2" s="1"/>
      <c r="D2" s="1" t="s">
        <v>435</v>
      </c>
      <c r="E2" s="1" t="s">
        <v>1395</v>
      </c>
      <c r="F2" s="1"/>
      <c r="G2" s="1" t="s">
        <v>245</v>
      </c>
      <c r="H2" s="1" t="s">
        <v>1396</v>
      </c>
      <c r="I2" s="1"/>
      <c r="J2" s="1" t="s">
        <v>199</v>
      </c>
      <c r="K2" s="1" t="s">
        <v>1397</v>
      </c>
      <c r="L2" s="1"/>
      <c r="M2" s="1" t="s">
        <v>114</v>
      </c>
      <c r="N2" s="1" t="s">
        <v>1398</v>
      </c>
      <c r="O2" s="1"/>
      <c r="P2" s="1" t="s">
        <v>115</v>
      </c>
      <c r="Q2" s="1" t="s">
        <v>1399</v>
      </c>
      <c r="R2" s="1"/>
      <c r="S2" s="1" t="s">
        <v>117</v>
      </c>
      <c r="T2" s="1" t="s">
        <v>1400</v>
      </c>
      <c r="U2" s="1"/>
      <c r="V2" s="1" t="s">
        <v>1401</v>
      </c>
      <c r="W2" s="1" t="s">
        <v>1402</v>
      </c>
      <c r="X2" s="1"/>
      <c r="Y2" s="1" t="s">
        <v>149</v>
      </c>
      <c r="Z2" s="1" t="s">
        <v>1403</v>
      </c>
      <c r="AA2" s="1" t="s">
        <v>1404</v>
      </c>
      <c r="AB2" s="1" t="s">
        <v>1405</v>
      </c>
      <c r="AD2" s="1" t="s">
        <v>924</v>
      </c>
      <c r="AE2" s="1" t="s">
        <v>935</v>
      </c>
      <c r="AF2" s="1" t="s">
        <v>1406</v>
      </c>
      <c r="AH2" s="1" t="s">
        <v>1407</v>
      </c>
      <c r="AI2" s="1" t="s">
        <v>155</v>
      </c>
      <c r="AJ2" s="1" t="s">
        <v>1408</v>
      </c>
      <c r="AL2" s="1" t="s">
        <v>926</v>
      </c>
      <c r="AM2" s="1" t="s">
        <v>904</v>
      </c>
      <c r="AN2" s="1" t="s">
        <v>1409</v>
      </c>
    </row>
    <row r="3" spans="1:40" ht="26">
      <c r="A3" s="1" t="s">
        <v>407</v>
      </c>
      <c r="B3" s="1" t="s">
        <v>1410</v>
      </c>
      <c r="C3" s="1"/>
      <c r="D3" s="1" t="s">
        <v>218</v>
      </c>
      <c r="E3" s="1" t="s">
        <v>1411</v>
      </c>
      <c r="F3" s="1"/>
      <c r="G3" s="1" t="s">
        <v>155</v>
      </c>
      <c r="H3" s="1" t="s">
        <v>155</v>
      </c>
      <c r="I3" s="1"/>
      <c r="J3" s="1" t="s">
        <v>1412</v>
      </c>
      <c r="K3" s="1" t="s">
        <v>1413</v>
      </c>
      <c r="L3" s="1"/>
      <c r="M3" s="1" t="s">
        <v>191</v>
      </c>
      <c r="N3" s="1" t="s">
        <v>1414</v>
      </c>
      <c r="O3" s="1"/>
      <c r="P3" s="1" t="s">
        <v>1415</v>
      </c>
      <c r="Q3" s="1" t="s">
        <v>1416</v>
      </c>
      <c r="R3" s="1"/>
      <c r="S3" s="1" t="s">
        <v>201</v>
      </c>
      <c r="T3" s="1" t="s">
        <v>1417</v>
      </c>
      <c r="U3" s="1"/>
      <c r="V3" s="1"/>
      <c r="W3" s="1" t="s">
        <v>1418</v>
      </c>
      <c r="X3" s="1"/>
      <c r="Y3" s="1" t="s">
        <v>203</v>
      </c>
      <c r="Z3" s="1" t="s">
        <v>1419</v>
      </c>
      <c r="AA3" s="1" t="s">
        <v>1420</v>
      </c>
      <c r="AB3" s="1" t="s">
        <v>1421</v>
      </c>
      <c r="AD3" s="1" t="s">
        <v>924</v>
      </c>
      <c r="AE3" s="1" t="s">
        <v>1011</v>
      </c>
      <c r="AF3" s="1" t="s">
        <v>1422</v>
      </c>
      <c r="AH3" s="1" t="s">
        <v>1407</v>
      </c>
      <c r="AI3" s="1" t="s">
        <v>125</v>
      </c>
      <c r="AJ3" s="1" t="s">
        <v>1423</v>
      </c>
      <c r="AL3" s="1" t="s">
        <v>1424</v>
      </c>
      <c r="AM3" s="1" t="s">
        <v>1425</v>
      </c>
      <c r="AN3" s="1" t="s">
        <v>1426</v>
      </c>
    </row>
    <row r="4" spans="1:40" ht="26">
      <c r="A4" s="1" t="s">
        <v>632</v>
      </c>
      <c r="B4" s="1" t="s">
        <v>1427</v>
      </c>
      <c r="C4" s="1"/>
      <c r="D4" s="1" t="s">
        <v>726</v>
      </c>
      <c r="E4" s="1" t="s">
        <v>1428</v>
      </c>
      <c r="F4" s="1"/>
      <c r="G4" s="1" t="s">
        <v>436</v>
      </c>
      <c r="H4" s="1" t="s">
        <v>1429</v>
      </c>
      <c r="I4" s="1"/>
      <c r="J4" s="1" t="s">
        <v>399</v>
      </c>
      <c r="K4" s="1" t="s">
        <v>1430</v>
      </c>
      <c r="L4" s="1"/>
      <c r="M4" s="1" t="s">
        <v>221</v>
      </c>
      <c r="N4" s="1" t="s">
        <v>1431</v>
      </c>
      <c r="O4" s="1"/>
      <c r="P4" s="1" t="s">
        <v>174</v>
      </c>
      <c r="Q4" s="1" t="s">
        <v>1432</v>
      </c>
      <c r="R4" s="1"/>
      <c r="S4" s="1"/>
      <c r="T4" s="1"/>
      <c r="U4" s="1"/>
      <c r="V4" s="1" t="s">
        <v>1433</v>
      </c>
      <c r="W4" s="1" t="s">
        <v>1434</v>
      </c>
      <c r="X4" s="1"/>
      <c r="Y4" s="1" t="s">
        <v>119</v>
      </c>
      <c r="Z4" s="1" t="s">
        <v>1435</v>
      </c>
      <c r="AA4" s="1" t="s">
        <v>113</v>
      </c>
      <c r="AB4" s="1" t="s">
        <v>1436</v>
      </c>
      <c r="AD4" s="1" t="s">
        <v>926</v>
      </c>
      <c r="AE4" s="1" t="s">
        <v>937</v>
      </c>
      <c r="AF4" s="1" t="s">
        <v>1437</v>
      </c>
      <c r="AH4" s="1" t="s">
        <v>1407</v>
      </c>
      <c r="AI4" s="1" t="s">
        <v>232</v>
      </c>
      <c r="AJ4" s="1" t="s">
        <v>1438</v>
      </c>
      <c r="AL4" s="1" t="s">
        <v>1424</v>
      </c>
      <c r="AM4" s="1" t="s">
        <v>1439</v>
      </c>
      <c r="AN4" s="1" t="s">
        <v>1440</v>
      </c>
    </row>
    <row r="5" spans="1:40">
      <c r="A5" s="1" t="s">
        <v>889</v>
      </c>
      <c r="B5" s="1" t="s">
        <v>1441</v>
      </c>
      <c r="C5" s="1"/>
      <c r="D5" s="1" t="s">
        <v>135</v>
      </c>
      <c r="E5" s="1" t="s">
        <v>1442</v>
      </c>
      <c r="F5" s="1"/>
      <c r="G5" s="1" t="s">
        <v>109</v>
      </c>
      <c r="H5" s="1" t="s">
        <v>1443</v>
      </c>
      <c r="I5" s="1"/>
      <c r="J5" s="1" t="s">
        <v>113</v>
      </c>
      <c r="K5" s="1" t="s">
        <v>1444</v>
      </c>
      <c r="L5" s="1"/>
      <c r="M5" s="1" t="s">
        <v>200</v>
      </c>
      <c r="N5" s="1" t="s">
        <v>1445</v>
      </c>
      <c r="O5" s="1"/>
      <c r="P5" s="1" t="s">
        <v>272</v>
      </c>
      <c r="Q5" s="1" t="s">
        <v>1446</v>
      </c>
      <c r="R5" s="1"/>
      <c r="S5" s="1"/>
      <c r="T5" s="1"/>
      <c r="U5" s="1"/>
      <c r="V5" s="1" t="s">
        <v>1447</v>
      </c>
      <c r="W5" s="1" t="s">
        <v>1448</v>
      </c>
      <c r="X5" s="1"/>
      <c r="Y5" s="1" t="s">
        <v>131</v>
      </c>
      <c r="Z5" s="1" t="s">
        <v>1449</v>
      </c>
      <c r="AA5" s="1" t="s">
        <v>113</v>
      </c>
      <c r="AB5" s="1" t="s">
        <v>1450</v>
      </c>
      <c r="AD5" s="1" t="s">
        <v>926</v>
      </c>
      <c r="AE5" s="1" t="s">
        <v>1014</v>
      </c>
      <c r="AF5" s="1" t="s">
        <v>1451</v>
      </c>
      <c r="AH5" s="1" t="s">
        <v>1407</v>
      </c>
      <c r="AI5" s="1" t="s">
        <v>258</v>
      </c>
      <c r="AJ5" s="1" t="s">
        <v>1452</v>
      </c>
      <c r="AL5" s="1" t="s">
        <v>931</v>
      </c>
      <c r="AM5" s="1" t="s">
        <v>941</v>
      </c>
      <c r="AN5" s="1" t="s">
        <v>1453</v>
      </c>
    </row>
    <row r="6" spans="1:40">
      <c r="A6" s="1" t="s">
        <v>901</v>
      </c>
      <c r="B6" s="1" t="s">
        <v>1454</v>
      </c>
      <c r="C6" s="1"/>
      <c r="D6" s="1" t="s">
        <v>195</v>
      </c>
      <c r="E6" s="1" t="s">
        <v>195</v>
      </c>
      <c r="F6" s="1"/>
      <c r="G6" s="1" t="s">
        <v>258</v>
      </c>
      <c r="H6" s="1" t="s">
        <v>1455</v>
      </c>
      <c r="I6" s="1"/>
      <c r="J6" s="1" t="s">
        <v>128</v>
      </c>
      <c r="K6" s="1" t="s">
        <v>1456</v>
      </c>
      <c r="L6" s="1"/>
      <c r="M6" s="1"/>
      <c r="N6" s="1"/>
      <c r="O6" s="1"/>
      <c r="P6" s="1"/>
      <c r="Q6" s="1"/>
      <c r="R6" s="1"/>
      <c r="S6" s="1"/>
      <c r="T6" s="1"/>
      <c r="U6" s="1"/>
      <c r="V6" s="1" t="s">
        <v>1457</v>
      </c>
      <c r="W6" s="1" t="s">
        <v>1458</v>
      </c>
      <c r="X6" s="1"/>
      <c r="Y6" s="1" t="s">
        <v>250</v>
      </c>
      <c r="Z6" s="1" t="s">
        <v>1459</v>
      </c>
      <c r="AA6" s="1" t="s">
        <v>113</v>
      </c>
      <c r="AB6" s="1" t="s">
        <v>1460</v>
      </c>
      <c r="AD6" s="1" t="s">
        <v>926</v>
      </c>
      <c r="AE6" s="1" t="s">
        <v>1461</v>
      </c>
      <c r="AF6" s="1" t="s">
        <v>1462</v>
      </c>
      <c r="AH6" s="1" t="s">
        <v>1407</v>
      </c>
      <c r="AI6" s="1" t="s">
        <v>634</v>
      </c>
      <c r="AJ6" s="1" t="s">
        <v>1463</v>
      </c>
      <c r="AL6" s="1" t="s">
        <v>931</v>
      </c>
      <c r="AM6" s="1" t="s">
        <v>1464</v>
      </c>
      <c r="AN6" s="1" t="s">
        <v>1465</v>
      </c>
    </row>
    <row r="7" spans="1:40">
      <c r="A7" s="1"/>
      <c r="B7" s="1"/>
      <c r="C7" s="1"/>
      <c r="D7" s="1" t="s">
        <v>633</v>
      </c>
      <c r="E7" s="1" t="s">
        <v>1466</v>
      </c>
      <c r="F7" s="1"/>
      <c r="G7" s="1" t="s">
        <v>232</v>
      </c>
      <c r="H7" s="1" t="s">
        <v>1467</v>
      </c>
      <c r="I7" s="1"/>
      <c r="J7" s="1" t="s">
        <v>137</v>
      </c>
      <c r="K7" s="1" t="s">
        <v>1468</v>
      </c>
      <c r="L7" s="1"/>
      <c r="M7" s="1"/>
      <c r="N7" s="1"/>
      <c r="O7" s="1"/>
      <c r="P7" s="1"/>
      <c r="Q7" s="1"/>
      <c r="R7" s="1"/>
      <c r="S7" s="1"/>
      <c r="T7" s="1"/>
      <c r="U7" s="1"/>
      <c r="V7" s="1" t="s">
        <v>1469</v>
      </c>
      <c r="W7" s="1" t="s">
        <v>1470</v>
      </c>
      <c r="X7" s="1"/>
      <c r="Y7" s="1" t="s">
        <v>161</v>
      </c>
      <c r="Z7" s="1" t="s">
        <v>1471</v>
      </c>
      <c r="AA7" s="1" t="s">
        <v>113</v>
      </c>
      <c r="AB7" s="1" t="s">
        <v>1472</v>
      </c>
      <c r="AD7" s="1" t="s">
        <v>926</v>
      </c>
      <c r="AE7" s="1" t="s">
        <v>990</v>
      </c>
      <c r="AF7" s="1" t="s">
        <v>1473</v>
      </c>
      <c r="AH7" s="1" t="s">
        <v>1407</v>
      </c>
      <c r="AI7" s="1" t="s">
        <v>679</v>
      </c>
      <c r="AJ7" s="1" t="s">
        <v>1474</v>
      </c>
      <c r="AL7" s="1" t="s">
        <v>1475</v>
      </c>
      <c r="AM7" s="1" t="s">
        <v>107</v>
      </c>
      <c r="AN7" s="1" t="s">
        <v>1476</v>
      </c>
    </row>
    <row r="8" spans="1:40">
      <c r="A8" s="1"/>
      <c r="B8" s="1"/>
      <c r="C8" s="1"/>
      <c r="D8" s="1" t="s">
        <v>154</v>
      </c>
      <c r="E8" s="1" t="s">
        <v>1477</v>
      </c>
      <c r="F8" s="1"/>
      <c r="G8" s="1" t="s">
        <v>125</v>
      </c>
      <c r="H8" s="1" t="s">
        <v>1478</v>
      </c>
      <c r="I8" s="1"/>
      <c r="J8" s="1" t="s">
        <v>988</v>
      </c>
      <c r="K8" s="1" t="s">
        <v>1479</v>
      </c>
      <c r="L8" s="1"/>
      <c r="M8" s="1"/>
      <c r="N8" s="1"/>
      <c r="O8" s="1"/>
      <c r="P8" s="1"/>
      <c r="Q8" s="1"/>
      <c r="R8" s="1"/>
      <c r="S8" s="1"/>
      <c r="T8" s="1"/>
      <c r="U8" s="1"/>
      <c r="V8" s="1" t="s">
        <v>1480</v>
      </c>
      <c r="W8" s="1" t="s">
        <v>1481</v>
      </c>
      <c r="X8" s="1"/>
      <c r="Y8" s="1" t="s">
        <v>411</v>
      </c>
      <c r="Z8" s="1" t="s">
        <v>1482</v>
      </c>
      <c r="AA8" s="1" t="s">
        <v>113</v>
      </c>
      <c r="AB8" s="1" t="s">
        <v>1483</v>
      </c>
      <c r="AD8" s="1" t="s">
        <v>929</v>
      </c>
      <c r="AE8" s="1" t="s">
        <v>1029</v>
      </c>
      <c r="AF8" s="1" t="s">
        <v>1484</v>
      </c>
      <c r="AH8" s="1" t="s">
        <v>1407</v>
      </c>
      <c r="AI8" s="1" t="s">
        <v>773</v>
      </c>
      <c r="AJ8" s="1" t="s">
        <v>1485</v>
      </c>
      <c r="AL8" s="1" t="s">
        <v>1475</v>
      </c>
      <c r="AM8" s="1" t="s">
        <v>407</v>
      </c>
      <c r="AN8" s="1" t="s">
        <v>1486</v>
      </c>
    </row>
    <row r="9" spans="1:40">
      <c r="A9" s="1"/>
      <c r="B9" s="1"/>
      <c r="C9" s="1"/>
      <c r="D9" s="1" t="s">
        <v>144</v>
      </c>
      <c r="E9" s="1" t="s">
        <v>1487</v>
      </c>
      <c r="F9" s="1"/>
      <c r="G9" s="1" t="s">
        <v>456</v>
      </c>
      <c r="H9" s="1" t="s">
        <v>1488</v>
      </c>
      <c r="I9" s="1"/>
      <c r="J9" s="1" t="s">
        <v>190</v>
      </c>
      <c r="K9" s="1" t="s">
        <v>1489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 t="s">
        <v>441</v>
      </c>
      <c r="Z9" s="1" t="s">
        <v>1490</v>
      </c>
      <c r="AA9" s="1" t="s">
        <v>113</v>
      </c>
      <c r="AB9" s="1" t="s">
        <v>1491</v>
      </c>
      <c r="AD9" s="1" t="s">
        <v>929</v>
      </c>
      <c r="AE9" s="1" t="s">
        <v>939</v>
      </c>
      <c r="AF9" s="1" t="s">
        <v>1492</v>
      </c>
      <c r="AH9" s="1" t="s">
        <v>1407</v>
      </c>
      <c r="AI9" s="1" t="s">
        <v>803</v>
      </c>
      <c r="AJ9" s="1" t="s">
        <v>1493</v>
      </c>
      <c r="AL9" s="1" t="s">
        <v>1475</v>
      </c>
      <c r="AM9" s="1" t="s">
        <v>632</v>
      </c>
      <c r="AN9" s="1" t="s">
        <v>1494</v>
      </c>
    </row>
    <row r="10" spans="1:40">
      <c r="A10" s="1"/>
      <c r="B10" s="1"/>
      <c r="C10" s="1"/>
      <c r="D10" s="1" t="s">
        <v>124</v>
      </c>
      <c r="E10" s="1" t="s">
        <v>1495</v>
      </c>
      <c r="F10" s="1"/>
      <c r="G10" s="1" t="s">
        <v>180</v>
      </c>
      <c r="H10" s="1" t="s">
        <v>1496</v>
      </c>
      <c r="I10" s="1"/>
      <c r="J10" s="1" t="s">
        <v>146</v>
      </c>
      <c r="K10" s="1" t="s">
        <v>1497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 t="s">
        <v>471</v>
      </c>
      <c r="Z10" s="1" t="s">
        <v>1498</v>
      </c>
      <c r="AA10" s="1" t="s">
        <v>1420</v>
      </c>
      <c r="AB10" s="1" t="s">
        <v>1499</v>
      </c>
      <c r="AD10" s="1" t="s">
        <v>929</v>
      </c>
      <c r="AE10" s="1" t="s">
        <v>1017</v>
      </c>
      <c r="AF10" s="1" t="s">
        <v>1500</v>
      </c>
      <c r="AH10" s="1" t="s">
        <v>1501</v>
      </c>
      <c r="AI10" s="1" t="s">
        <v>125</v>
      </c>
      <c r="AJ10" s="1" t="s">
        <v>1502</v>
      </c>
      <c r="AL10" s="1" t="s">
        <v>1475</v>
      </c>
      <c r="AM10" s="1" t="s">
        <v>889</v>
      </c>
      <c r="AN10" s="1" t="s">
        <v>1503</v>
      </c>
    </row>
    <row r="11" spans="1:40">
      <c r="A11" s="1"/>
      <c r="B11" s="1"/>
      <c r="C11" s="1"/>
      <c r="D11" s="1" t="s">
        <v>108</v>
      </c>
      <c r="E11" s="1" t="s">
        <v>1504</v>
      </c>
      <c r="F11" s="1"/>
      <c r="G11" s="1" t="s">
        <v>773</v>
      </c>
      <c r="H11" s="1" t="s">
        <v>1505</v>
      </c>
      <c r="I11" s="1"/>
      <c r="J11" s="1" t="s">
        <v>183</v>
      </c>
      <c r="K11" s="1" t="s">
        <v>1506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 t="s">
        <v>895</v>
      </c>
      <c r="Z11" s="1" t="s">
        <v>1507</v>
      </c>
      <c r="AA11" s="1" t="s">
        <v>113</v>
      </c>
      <c r="AB11" s="1" t="s">
        <v>1508</v>
      </c>
      <c r="AD11" s="1" t="s">
        <v>931</v>
      </c>
      <c r="AE11" s="1" t="s">
        <v>941</v>
      </c>
      <c r="AF11" s="1" t="s">
        <v>1509</v>
      </c>
      <c r="AH11" s="1" t="s">
        <v>1501</v>
      </c>
      <c r="AI11" s="1" t="s">
        <v>232</v>
      </c>
      <c r="AJ11" s="1" t="s">
        <v>1510</v>
      </c>
    </row>
    <row r="12" spans="1:40">
      <c r="A12" s="1"/>
      <c r="B12" s="1"/>
      <c r="C12" s="1"/>
      <c r="D12" s="1" t="s">
        <v>472</v>
      </c>
      <c r="E12" s="1" t="s">
        <v>1511</v>
      </c>
      <c r="F12" s="1"/>
      <c r="G12" s="1" t="s">
        <v>679</v>
      </c>
      <c r="H12" s="1" t="s">
        <v>1512</v>
      </c>
      <c r="I12" s="1"/>
      <c r="J12" s="1" t="s">
        <v>1513</v>
      </c>
      <c r="K12" s="1" t="s">
        <v>1514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 t="s">
        <v>1515</v>
      </c>
      <c r="Z12" s="1" t="s">
        <v>1516</v>
      </c>
      <c r="AA12" s="1" t="s">
        <v>113</v>
      </c>
      <c r="AB12" s="1" t="s">
        <v>1517</v>
      </c>
      <c r="AD12" s="1" t="s">
        <v>931</v>
      </c>
      <c r="AE12" s="1" t="s">
        <v>1030</v>
      </c>
      <c r="AF12" s="1" t="s">
        <v>1518</v>
      </c>
      <c r="AH12" s="1" t="s">
        <v>1501</v>
      </c>
      <c r="AI12" s="1" t="s">
        <v>258</v>
      </c>
      <c r="AJ12" s="1" t="s">
        <v>1519</v>
      </c>
    </row>
    <row r="13" spans="1:40">
      <c r="A13" s="1"/>
      <c r="B13" s="1"/>
      <c r="C13" s="1"/>
      <c r="D13" s="1" t="s">
        <v>689</v>
      </c>
      <c r="E13" s="1" t="s">
        <v>1520</v>
      </c>
      <c r="F13" s="1"/>
      <c r="G13" s="1" t="s">
        <v>634</v>
      </c>
      <c r="H13" s="1" t="s">
        <v>634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 t="s">
        <v>1521</v>
      </c>
      <c r="Z13" s="1" t="s">
        <v>1522</v>
      </c>
      <c r="AA13" s="1" t="s">
        <v>113</v>
      </c>
      <c r="AB13" s="1" t="s">
        <v>1523</v>
      </c>
      <c r="AD13" s="1" t="s">
        <v>931</v>
      </c>
      <c r="AE13" s="1" t="s">
        <v>1464</v>
      </c>
      <c r="AF13" s="1" t="s">
        <v>1524</v>
      </c>
      <c r="AH13" s="1" t="s">
        <v>1525</v>
      </c>
      <c r="AI13" s="1" t="s">
        <v>436</v>
      </c>
      <c r="AJ13" s="1" t="s">
        <v>1526</v>
      </c>
    </row>
    <row r="14" spans="1:40">
      <c r="A14" s="1"/>
      <c r="B14" s="1"/>
      <c r="C14" s="1"/>
      <c r="D14" s="1" t="s">
        <v>678</v>
      </c>
      <c r="E14" s="1" t="s">
        <v>1527</v>
      </c>
      <c r="F14" s="1"/>
      <c r="G14" s="1" t="s">
        <v>803</v>
      </c>
      <c r="H14" s="1" t="s">
        <v>1528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 t="s">
        <v>640</v>
      </c>
      <c r="Z14" s="1" t="s">
        <v>1529</v>
      </c>
      <c r="AA14" s="1" t="s">
        <v>113</v>
      </c>
      <c r="AB14" s="1" t="s">
        <v>1530</v>
      </c>
      <c r="AD14" s="1" t="s">
        <v>925</v>
      </c>
      <c r="AE14" s="1" t="s">
        <v>936</v>
      </c>
      <c r="AF14" s="1" t="s">
        <v>1531</v>
      </c>
      <c r="AH14" s="1" t="s">
        <v>1525</v>
      </c>
      <c r="AI14" s="1" t="s">
        <v>456</v>
      </c>
      <c r="AJ14" s="1" t="s">
        <v>1532</v>
      </c>
    </row>
    <row r="15" spans="1:40">
      <c r="A15" s="1"/>
      <c r="B15" s="1"/>
      <c r="C15" s="1"/>
      <c r="D15" s="1" t="s">
        <v>764</v>
      </c>
      <c r="E15" s="1" t="s">
        <v>1533</v>
      </c>
      <c r="F15" s="1"/>
      <c r="G15" s="1" t="s">
        <v>196</v>
      </c>
      <c r="H15" s="1" t="s">
        <v>1534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 t="s">
        <v>706</v>
      </c>
      <c r="Z15" s="1" t="s">
        <v>1535</v>
      </c>
      <c r="AA15" s="1" t="s">
        <v>113</v>
      </c>
      <c r="AB15" s="1" t="s">
        <v>1536</v>
      </c>
      <c r="AD15" s="1" t="s">
        <v>925</v>
      </c>
      <c r="AE15" s="1" t="s">
        <v>963</v>
      </c>
      <c r="AF15" s="1" t="s">
        <v>1537</v>
      </c>
      <c r="AH15" s="1" t="s">
        <v>1538</v>
      </c>
      <c r="AI15" s="1" t="s">
        <v>1539</v>
      </c>
      <c r="AJ15" s="1" t="s">
        <v>1540</v>
      </c>
    </row>
    <row r="16" spans="1:40" ht="26">
      <c r="A16" s="1"/>
      <c r="B16" s="1"/>
      <c r="C16" s="1"/>
      <c r="D16" s="1" t="s">
        <v>210</v>
      </c>
      <c r="E16" s="1" t="s">
        <v>210</v>
      </c>
      <c r="F16" s="1"/>
      <c r="G16" s="1" t="s">
        <v>904</v>
      </c>
      <c r="H16" s="1" t="s">
        <v>1541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 t="s">
        <v>731</v>
      </c>
      <c r="Z16" s="1" t="s">
        <v>1542</v>
      </c>
      <c r="AA16" s="1" t="s">
        <v>113</v>
      </c>
      <c r="AB16" s="1" t="s">
        <v>1543</v>
      </c>
      <c r="AD16" s="1" t="s">
        <v>925</v>
      </c>
      <c r="AE16" s="1" t="s">
        <v>974</v>
      </c>
      <c r="AF16" s="1" t="s">
        <v>1544</v>
      </c>
      <c r="AH16" s="1" t="s">
        <v>1538</v>
      </c>
      <c r="AI16" s="1" t="s">
        <v>1545</v>
      </c>
      <c r="AJ16" s="1" t="s">
        <v>1546</v>
      </c>
    </row>
    <row r="17" spans="1:36">
      <c r="A17" s="1"/>
      <c r="B17" s="1"/>
      <c r="C17" s="1"/>
      <c r="D17" s="1" t="s">
        <v>467</v>
      </c>
      <c r="E17" s="1" t="s">
        <v>1547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 t="s">
        <v>1548</v>
      </c>
      <c r="Z17" s="1" t="s">
        <v>1549</v>
      </c>
      <c r="AA17" s="1" t="s">
        <v>113</v>
      </c>
      <c r="AB17" s="1" t="s">
        <v>1550</v>
      </c>
      <c r="AD17" s="1" t="s">
        <v>925</v>
      </c>
      <c r="AE17" s="1" t="s">
        <v>1047</v>
      </c>
      <c r="AF17" s="1" t="s">
        <v>1551</v>
      </c>
      <c r="AH17" s="1" t="s">
        <v>1552</v>
      </c>
      <c r="AI17" s="1" t="s">
        <v>937</v>
      </c>
      <c r="AJ17" s="1" t="s">
        <v>1553</v>
      </c>
    </row>
    <row r="18" spans="1:36">
      <c r="A18" s="1"/>
      <c r="B18" s="1"/>
      <c r="C18" s="1"/>
      <c r="D18" s="1" t="s">
        <v>428</v>
      </c>
      <c r="E18" s="1" t="s">
        <v>1554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 t="s">
        <v>1555</v>
      </c>
      <c r="Z18" s="1" t="s">
        <v>1556</v>
      </c>
      <c r="AA18" s="1" t="s">
        <v>113</v>
      </c>
      <c r="AB18" s="1" t="s">
        <v>1557</v>
      </c>
      <c r="AD18" s="1" t="s">
        <v>925</v>
      </c>
      <c r="AE18" s="1" t="s">
        <v>988</v>
      </c>
      <c r="AF18" s="1" t="s">
        <v>1558</v>
      </c>
      <c r="AH18" s="1" t="s">
        <v>1552</v>
      </c>
      <c r="AI18" s="1" t="s">
        <v>180</v>
      </c>
      <c r="AJ18" s="1" t="s">
        <v>1559</v>
      </c>
    </row>
    <row r="19" spans="1:36">
      <c r="A19" s="1"/>
      <c r="B19" s="1"/>
      <c r="C19" s="1"/>
      <c r="D19" s="1" t="s">
        <v>890</v>
      </c>
      <c r="E19" s="1" t="s">
        <v>1560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 t="s">
        <v>747</v>
      </c>
      <c r="Z19" s="1" t="s">
        <v>1561</v>
      </c>
      <c r="AA19" s="1" t="s">
        <v>113</v>
      </c>
      <c r="AB19" s="1" t="s">
        <v>1562</v>
      </c>
      <c r="AD19" s="1" t="s">
        <v>925</v>
      </c>
      <c r="AE19" s="1" t="s">
        <v>1012</v>
      </c>
      <c r="AF19" s="1" t="s">
        <v>1563</v>
      </c>
      <c r="AH19" s="1" t="s">
        <v>1552</v>
      </c>
      <c r="AI19" s="1" t="s">
        <v>245</v>
      </c>
      <c r="AJ19" s="1" t="s">
        <v>1564</v>
      </c>
    </row>
    <row r="20" spans="1:36">
      <c r="A20" s="1"/>
      <c r="B20" s="1"/>
      <c r="C20" s="1"/>
      <c r="D20" s="1" t="s">
        <v>702</v>
      </c>
      <c r="E20" s="1" t="s">
        <v>1565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 t="s">
        <v>1566</v>
      </c>
      <c r="Z20" s="1" t="s">
        <v>1567</v>
      </c>
      <c r="AA20" s="1" t="s">
        <v>113</v>
      </c>
      <c r="AB20" s="1" t="s">
        <v>1568</v>
      </c>
      <c r="AD20" s="1" t="s">
        <v>925</v>
      </c>
      <c r="AE20" s="1" t="s">
        <v>1038</v>
      </c>
      <c r="AF20" s="1" t="s">
        <v>1569</v>
      </c>
      <c r="AH20" s="1" t="s">
        <v>1570</v>
      </c>
      <c r="AI20" s="1" t="s">
        <v>1571</v>
      </c>
      <c r="AJ20" s="1" t="s">
        <v>1572</v>
      </c>
    </row>
    <row r="21" spans="1:36">
      <c r="A21" s="1"/>
      <c r="B21" s="1"/>
      <c r="C21" s="1"/>
      <c r="D21" s="1" t="s">
        <v>772</v>
      </c>
      <c r="E21" s="1" t="s">
        <v>1573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 t="s">
        <v>139</v>
      </c>
      <c r="Z21" s="1" t="s">
        <v>1574</v>
      </c>
      <c r="AA21" s="1" t="s">
        <v>137</v>
      </c>
      <c r="AB21" s="1" t="s">
        <v>1575</v>
      </c>
      <c r="AD21" s="1" t="s">
        <v>925</v>
      </c>
      <c r="AE21" s="1" t="s">
        <v>1020</v>
      </c>
      <c r="AF21" s="1" t="s">
        <v>1576</v>
      </c>
      <c r="AH21" s="1" t="s">
        <v>1570</v>
      </c>
      <c r="AI21" s="1" t="s">
        <v>1577</v>
      </c>
      <c r="AJ21" s="1" t="s">
        <v>1578</v>
      </c>
    </row>
    <row r="22" spans="1:36">
      <c r="A22" s="1"/>
      <c r="B22" s="1"/>
      <c r="C22" s="1"/>
      <c r="D22" s="1" t="s">
        <v>290</v>
      </c>
      <c r="E22" s="1" t="s">
        <v>1579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 t="s">
        <v>223</v>
      </c>
      <c r="Z22" s="1" t="s">
        <v>1580</v>
      </c>
      <c r="AA22" s="1" t="s">
        <v>1581</v>
      </c>
      <c r="AB22" s="1" t="s">
        <v>1582</v>
      </c>
      <c r="AD22" s="1" t="s">
        <v>925</v>
      </c>
      <c r="AE22" s="1" t="s">
        <v>1026</v>
      </c>
      <c r="AF22" s="1" t="s">
        <v>1583</v>
      </c>
      <c r="AH22" s="1" t="s">
        <v>1584</v>
      </c>
      <c r="AI22" s="1" t="s">
        <v>125</v>
      </c>
      <c r="AJ22" s="1" t="s">
        <v>1585</v>
      </c>
    </row>
    <row r="23" spans="1:36">
      <c r="A23" s="1"/>
      <c r="B23" s="1"/>
      <c r="C23" s="1"/>
      <c r="D23" s="1" t="s">
        <v>902</v>
      </c>
      <c r="E23" s="1" t="s">
        <v>1586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 t="s">
        <v>1587</v>
      </c>
      <c r="Z23" s="1" t="s">
        <v>1588</v>
      </c>
      <c r="AA23" s="1" t="s">
        <v>1581</v>
      </c>
      <c r="AB23" s="1" t="s">
        <v>1589</v>
      </c>
      <c r="AD23" s="1" t="s">
        <v>925</v>
      </c>
      <c r="AE23" s="1" t="s">
        <v>1034</v>
      </c>
      <c r="AF23" s="1" t="s">
        <v>1590</v>
      </c>
      <c r="AH23" s="1" t="s">
        <v>1584</v>
      </c>
      <c r="AI23" s="1" t="s">
        <v>232</v>
      </c>
      <c r="AJ23" s="1" t="s">
        <v>1591</v>
      </c>
    </row>
    <row r="24" spans="1:36" ht="26">
      <c r="A24" s="1"/>
      <c r="B24" s="1"/>
      <c r="C24" s="1"/>
      <c r="D24" s="1" t="s">
        <v>281</v>
      </c>
      <c r="E24" s="1" t="s">
        <v>1592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 t="s">
        <v>214</v>
      </c>
      <c r="Z24" s="1" t="s">
        <v>1593</v>
      </c>
      <c r="AA24" s="1" t="s">
        <v>1581</v>
      </c>
      <c r="AB24" s="1" t="s">
        <v>1594</v>
      </c>
      <c r="AD24" s="1" t="s">
        <v>925</v>
      </c>
      <c r="AE24" s="1" t="s">
        <v>1073</v>
      </c>
      <c r="AF24" s="1" t="s">
        <v>1595</v>
      </c>
      <c r="AH24" s="1" t="s">
        <v>1596</v>
      </c>
      <c r="AI24" s="1" t="s">
        <v>125</v>
      </c>
      <c r="AJ24" s="1" t="s">
        <v>1597</v>
      </c>
    </row>
    <row r="25" spans="1:3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 t="s">
        <v>718</v>
      </c>
      <c r="Z25" s="1" t="s">
        <v>1598</v>
      </c>
      <c r="AA25" s="1" t="s">
        <v>113</v>
      </c>
      <c r="AB25" s="1" t="s">
        <v>1599</v>
      </c>
      <c r="AH25" s="1" t="s">
        <v>1596</v>
      </c>
      <c r="AI25" s="1" t="s">
        <v>232</v>
      </c>
      <c r="AJ25" s="1" t="s">
        <v>1600</v>
      </c>
    </row>
    <row r="26" spans="1:3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H26" s="1" t="s">
        <v>1601</v>
      </c>
      <c r="AI26" s="1" t="s">
        <v>1602</v>
      </c>
      <c r="AJ26" s="1" t="s">
        <v>1603</v>
      </c>
    </row>
    <row r="27" spans="1:3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H27" s="1" t="s">
        <v>1601</v>
      </c>
      <c r="AI27" s="1" t="s">
        <v>1604</v>
      </c>
      <c r="AJ27" s="1" t="s">
        <v>1605</v>
      </c>
    </row>
    <row r="28" spans="1:3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H28" s="1" t="s">
        <v>884</v>
      </c>
      <c r="AI28" s="1" t="s">
        <v>1606</v>
      </c>
      <c r="AJ28" s="1" t="s">
        <v>1607</v>
      </c>
    </row>
    <row r="29" spans="1:3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H29" s="1" t="s">
        <v>884</v>
      </c>
      <c r="AI29" s="1" t="s">
        <v>1608</v>
      </c>
      <c r="AJ29" s="1" t="s">
        <v>1609</v>
      </c>
    </row>
    <row r="30" spans="1:3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3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3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</sheetData>
  <phoneticPr fontId="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46"/>
  <sheetViews>
    <sheetView workbookViewId="0"/>
  </sheetViews>
  <sheetFormatPr baseColWidth="10" defaultColWidth="8.83203125" defaultRowHeight="14"/>
  <cols>
    <col min="1" max="1" width="18" customWidth="1"/>
    <col min="2" max="2" width="20" customWidth="1"/>
    <col min="3" max="3" width="25" customWidth="1"/>
    <col min="4" max="6" width="34" customWidth="1"/>
    <col min="7" max="7" width="38" customWidth="1"/>
    <col min="8" max="8" width="35" customWidth="1"/>
    <col min="9" max="9" width="16" customWidth="1"/>
    <col min="10" max="10" width="38" customWidth="1"/>
    <col min="11" max="11" width="68" customWidth="1"/>
    <col min="12" max="12" width="28" customWidth="1"/>
    <col min="13" max="13" width="15" customWidth="1"/>
    <col min="14" max="14" width="22" customWidth="1"/>
    <col min="15" max="15" width="24" customWidth="1"/>
    <col min="16" max="16" width="18" customWidth="1"/>
    <col min="17" max="17" width="62" customWidth="1"/>
    <col min="18" max="18" width="30" customWidth="1"/>
    <col min="19" max="19" width="14" customWidth="1"/>
    <col min="20" max="20" width="64" customWidth="1"/>
  </cols>
  <sheetData>
    <row r="1" spans="1:20" ht="30.75" customHeight="1">
      <c r="A1" s="6" t="s">
        <v>1610</v>
      </c>
      <c r="B1" s="6" t="s">
        <v>1611</v>
      </c>
      <c r="C1" s="6" t="s">
        <v>1612</v>
      </c>
      <c r="D1" s="6" t="s">
        <v>1613</v>
      </c>
      <c r="E1" s="6" t="s">
        <v>1614</v>
      </c>
      <c r="F1" s="6" t="s">
        <v>1615</v>
      </c>
      <c r="G1" s="6" t="s">
        <v>1616</v>
      </c>
      <c r="H1" s="6" t="s">
        <v>1617</v>
      </c>
      <c r="I1" s="6" t="s">
        <v>1475</v>
      </c>
      <c r="J1" s="6" t="s">
        <v>1618</v>
      </c>
      <c r="K1" s="6" t="s">
        <v>1619</v>
      </c>
      <c r="L1" s="6" t="s">
        <v>1620</v>
      </c>
      <c r="M1" s="6" t="s">
        <v>1621</v>
      </c>
      <c r="N1" s="6" t="s">
        <v>1622</v>
      </c>
      <c r="O1" s="6" t="s">
        <v>1623</v>
      </c>
      <c r="P1" s="6" t="s">
        <v>926</v>
      </c>
      <c r="Q1" s="6" t="s">
        <v>1624</v>
      </c>
      <c r="R1" s="6" t="s">
        <v>1424</v>
      </c>
      <c r="S1" s="6" t="s">
        <v>931</v>
      </c>
      <c r="T1" s="6" t="s">
        <v>932</v>
      </c>
    </row>
    <row r="2" spans="1:20" ht="52" customHeight="1">
      <c r="A2" s="1" t="s">
        <v>1625</v>
      </c>
      <c r="B2" s="1" t="s">
        <v>143</v>
      </c>
      <c r="C2" s="1" t="s">
        <v>1626</v>
      </c>
      <c r="D2" s="1" t="s">
        <v>144</v>
      </c>
      <c r="E2" s="1" t="s">
        <v>1627</v>
      </c>
      <c r="F2" s="1" t="s">
        <v>1628</v>
      </c>
      <c r="G2" s="1" t="s">
        <v>1629</v>
      </c>
      <c r="H2" s="1" t="s">
        <v>1630</v>
      </c>
      <c r="I2" s="1" t="s">
        <v>107</v>
      </c>
      <c r="J2" s="1" t="s">
        <v>1631</v>
      </c>
      <c r="K2" s="1" t="s">
        <v>147</v>
      </c>
      <c r="L2" s="1" t="s">
        <v>157</v>
      </c>
      <c r="M2" s="4" t="b">
        <v>0</v>
      </c>
      <c r="N2" s="1" t="s">
        <v>910</v>
      </c>
      <c r="O2" s="1" t="s">
        <v>1632</v>
      </c>
      <c r="P2" s="1" t="s">
        <v>904</v>
      </c>
      <c r="Q2" s="1" t="s">
        <v>1633</v>
      </c>
      <c r="R2" s="1" t="s">
        <v>1425</v>
      </c>
      <c r="S2" s="1" t="s">
        <v>941</v>
      </c>
      <c r="T2" s="1" t="s">
        <v>1634</v>
      </c>
    </row>
    <row r="3" spans="1:20" ht="52" customHeight="1">
      <c r="A3" s="1" t="s">
        <v>1635</v>
      </c>
      <c r="B3" s="1" t="s">
        <v>143</v>
      </c>
      <c r="C3" s="1" t="s">
        <v>1636</v>
      </c>
      <c r="D3" s="1" t="s">
        <v>144</v>
      </c>
      <c r="E3" s="1" t="s">
        <v>1627</v>
      </c>
      <c r="F3" s="1" t="s">
        <v>1628</v>
      </c>
      <c r="G3" s="1" t="s">
        <v>1629</v>
      </c>
      <c r="H3" s="1" t="s">
        <v>1630</v>
      </c>
      <c r="I3" s="1" t="s">
        <v>107</v>
      </c>
      <c r="J3" s="1" t="s">
        <v>1631</v>
      </c>
      <c r="K3" s="1" t="s">
        <v>147</v>
      </c>
      <c r="L3" s="1" t="s">
        <v>728</v>
      </c>
      <c r="M3" s="4" t="b">
        <v>0</v>
      </c>
      <c r="N3" s="1" t="s">
        <v>910</v>
      </c>
      <c r="O3" s="1" t="s">
        <v>1632</v>
      </c>
      <c r="P3" s="1" t="s">
        <v>904</v>
      </c>
      <c r="Q3" s="1" t="s">
        <v>1633</v>
      </c>
      <c r="R3" s="1" t="s">
        <v>1425</v>
      </c>
      <c r="S3" s="1" t="s">
        <v>941</v>
      </c>
      <c r="T3" s="1" t="s">
        <v>1634</v>
      </c>
    </row>
    <row r="4" spans="1:20" ht="52" customHeight="1">
      <c r="A4" s="1" t="s">
        <v>1637</v>
      </c>
      <c r="B4" s="1" t="s">
        <v>143</v>
      </c>
      <c r="C4" s="1" t="s">
        <v>1638</v>
      </c>
      <c r="D4" s="1" t="s">
        <v>144</v>
      </c>
      <c r="E4" s="1" t="s">
        <v>1627</v>
      </c>
      <c r="F4" s="1" t="s">
        <v>1628</v>
      </c>
      <c r="G4" s="1" t="s">
        <v>1629</v>
      </c>
      <c r="H4" s="1" t="s">
        <v>1630</v>
      </c>
      <c r="I4" s="1" t="s">
        <v>107</v>
      </c>
      <c r="J4" s="1" t="s">
        <v>1631</v>
      </c>
      <c r="K4" s="1" t="s">
        <v>147</v>
      </c>
      <c r="L4" s="1" t="s">
        <v>1639</v>
      </c>
      <c r="M4" s="4" t="b">
        <v>0</v>
      </c>
      <c r="N4" s="1" t="s">
        <v>910</v>
      </c>
      <c r="O4" s="1" t="s">
        <v>1632</v>
      </c>
      <c r="P4" s="1" t="s">
        <v>904</v>
      </c>
      <c r="Q4" s="1" t="s">
        <v>1633</v>
      </c>
      <c r="R4" s="1" t="s">
        <v>1425</v>
      </c>
      <c r="S4" s="1" t="s">
        <v>941</v>
      </c>
      <c r="T4" s="1" t="s">
        <v>1634</v>
      </c>
    </row>
    <row r="5" spans="1:20" ht="52" customHeight="1">
      <c r="A5" s="1" t="s">
        <v>1640</v>
      </c>
      <c r="B5" s="1" t="s">
        <v>165</v>
      </c>
      <c r="C5" s="1" t="s">
        <v>1641</v>
      </c>
      <c r="D5" s="1" t="s">
        <v>144</v>
      </c>
      <c r="E5" s="1" t="s">
        <v>1627</v>
      </c>
      <c r="F5" s="1" t="s">
        <v>1628</v>
      </c>
      <c r="G5" s="1" t="s">
        <v>1629</v>
      </c>
      <c r="H5" s="1" t="s">
        <v>1630</v>
      </c>
      <c r="I5" s="1" t="s">
        <v>107</v>
      </c>
      <c r="J5" s="1" t="s">
        <v>1631</v>
      </c>
      <c r="K5" s="1" t="s">
        <v>159</v>
      </c>
      <c r="L5" s="1" t="s">
        <v>157</v>
      </c>
      <c r="M5" s="4" t="b">
        <v>0</v>
      </c>
      <c r="N5" s="1" t="s">
        <v>910</v>
      </c>
      <c r="O5" s="1" t="s">
        <v>1632</v>
      </c>
      <c r="P5" s="1" t="s">
        <v>904</v>
      </c>
      <c r="Q5" s="1" t="s">
        <v>1642</v>
      </c>
      <c r="R5" s="1" t="s">
        <v>1425</v>
      </c>
      <c r="S5" s="1" t="s">
        <v>941</v>
      </c>
      <c r="T5" s="1" t="s">
        <v>1643</v>
      </c>
    </row>
    <row r="6" spans="1:20" ht="52" customHeight="1">
      <c r="A6" s="1" t="s">
        <v>1644</v>
      </c>
      <c r="B6" s="1" t="s">
        <v>238</v>
      </c>
      <c r="C6" s="1" t="s">
        <v>1626</v>
      </c>
      <c r="D6" s="1" t="s">
        <v>144</v>
      </c>
      <c r="E6" s="1" t="s">
        <v>1627</v>
      </c>
      <c r="F6" s="1" t="s">
        <v>1628</v>
      </c>
      <c r="G6" s="1" t="s">
        <v>1629</v>
      </c>
      <c r="H6" s="1" t="s">
        <v>1630</v>
      </c>
      <c r="I6" s="1" t="s">
        <v>107</v>
      </c>
      <c r="J6" s="1" t="s">
        <v>1631</v>
      </c>
      <c r="K6" s="1" t="s">
        <v>239</v>
      </c>
      <c r="L6" s="1" t="s">
        <v>157</v>
      </c>
      <c r="M6" s="4" t="b">
        <v>0</v>
      </c>
      <c r="N6" s="1" t="s">
        <v>910</v>
      </c>
      <c r="O6" s="1" t="s">
        <v>1632</v>
      </c>
      <c r="P6" s="1" t="s">
        <v>904</v>
      </c>
      <c r="Q6" s="1" t="s">
        <v>1645</v>
      </c>
      <c r="R6" s="1" t="s">
        <v>1425</v>
      </c>
      <c r="S6" s="1" t="s">
        <v>941</v>
      </c>
      <c r="T6" s="1" t="s">
        <v>1634</v>
      </c>
    </row>
    <row r="7" spans="1:20" ht="52" customHeight="1">
      <c r="A7" s="1" t="s">
        <v>1646</v>
      </c>
      <c r="B7" s="1" t="s">
        <v>238</v>
      </c>
      <c r="C7" s="1" t="s">
        <v>1636</v>
      </c>
      <c r="D7" s="1" t="s">
        <v>144</v>
      </c>
      <c r="E7" s="1" t="s">
        <v>1627</v>
      </c>
      <c r="F7" s="1" t="s">
        <v>1628</v>
      </c>
      <c r="G7" s="1" t="s">
        <v>1629</v>
      </c>
      <c r="H7" s="1" t="s">
        <v>1630</v>
      </c>
      <c r="I7" s="1" t="s">
        <v>107</v>
      </c>
      <c r="J7" s="1" t="s">
        <v>1631</v>
      </c>
      <c r="K7" s="1" t="s">
        <v>239</v>
      </c>
      <c r="L7" s="1" t="s">
        <v>728</v>
      </c>
      <c r="M7" s="4" t="b">
        <v>0</v>
      </c>
      <c r="N7" s="1" t="s">
        <v>910</v>
      </c>
      <c r="O7" s="1" t="s">
        <v>1632</v>
      </c>
      <c r="P7" s="1" t="s">
        <v>904</v>
      </c>
      <c r="Q7" s="1" t="s">
        <v>1645</v>
      </c>
      <c r="R7" s="1" t="s">
        <v>1425</v>
      </c>
      <c r="S7" s="1" t="s">
        <v>941</v>
      </c>
      <c r="T7" s="1" t="s">
        <v>1634</v>
      </c>
    </row>
    <row r="8" spans="1:20" ht="52" customHeight="1">
      <c r="A8" s="1" t="s">
        <v>1647</v>
      </c>
      <c r="B8" s="1" t="s">
        <v>238</v>
      </c>
      <c r="C8" s="1" t="s">
        <v>1638</v>
      </c>
      <c r="D8" s="1" t="s">
        <v>144</v>
      </c>
      <c r="E8" s="1" t="s">
        <v>1627</v>
      </c>
      <c r="F8" s="1" t="s">
        <v>1628</v>
      </c>
      <c r="G8" s="1" t="s">
        <v>1629</v>
      </c>
      <c r="H8" s="1" t="s">
        <v>1630</v>
      </c>
      <c r="I8" s="1" t="s">
        <v>107</v>
      </c>
      <c r="J8" s="1" t="s">
        <v>1631</v>
      </c>
      <c r="K8" s="1" t="s">
        <v>239</v>
      </c>
      <c r="L8" s="1" t="s">
        <v>1639</v>
      </c>
      <c r="M8" s="4" t="b">
        <v>0</v>
      </c>
      <c r="N8" s="1" t="s">
        <v>910</v>
      </c>
      <c r="O8" s="1" t="s">
        <v>1632</v>
      </c>
      <c r="P8" s="1" t="s">
        <v>904</v>
      </c>
      <c r="Q8" s="1" t="s">
        <v>1645</v>
      </c>
      <c r="R8" s="1" t="s">
        <v>1425</v>
      </c>
      <c r="S8" s="1" t="s">
        <v>941</v>
      </c>
      <c r="T8" s="1" t="s">
        <v>1634</v>
      </c>
    </row>
    <row r="9" spans="1:20" ht="52" customHeight="1">
      <c r="A9" s="1" t="s">
        <v>1648</v>
      </c>
      <c r="B9" s="1" t="s">
        <v>264</v>
      </c>
      <c r="C9" s="1" t="s">
        <v>1626</v>
      </c>
      <c r="D9" s="1" t="s">
        <v>144</v>
      </c>
      <c r="E9" s="1" t="s">
        <v>1627</v>
      </c>
      <c r="F9" s="1" t="s">
        <v>1628</v>
      </c>
      <c r="G9" s="1" t="s">
        <v>1629</v>
      </c>
      <c r="H9" s="1" t="s">
        <v>1630</v>
      </c>
      <c r="I9" s="1" t="s">
        <v>107</v>
      </c>
      <c r="J9" s="1" t="s">
        <v>1631</v>
      </c>
      <c r="K9" s="1" t="s">
        <v>266</v>
      </c>
      <c r="L9" s="1" t="s">
        <v>157</v>
      </c>
      <c r="M9" s="4" t="b">
        <v>0</v>
      </c>
      <c r="N9" s="1" t="s">
        <v>910</v>
      </c>
      <c r="O9" s="1" t="s">
        <v>1632</v>
      </c>
      <c r="P9" s="1" t="s">
        <v>904</v>
      </c>
      <c r="Q9" s="1" t="s">
        <v>1649</v>
      </c>
      <c r="R9" s="1" t="s">
        <v>1425</v>
      </c>
      <c r="S9" s="1" t="s">
        <v>941</v>
      </c>
      <c r="T9" s="1" t="s">
        <v>1634</v>
      </c>
    </row>
    <row r="10" spans="1:20" ht="52" customHeight="1">
      <c r="A10" s="1" t="s">
        <v>1650</v>
      </c>
      <c r="B10" s="1" t="s">
        <v>275</v>
      </c>
      <c r="C10" s="1" t="s">
        <v>1636</v>
      </c>
      <c r="D10" s="1" t="s">
        <v>144</v>
      </c>
      <c r="E10" s="1" t="s">
        <v>1627</v>
      </c>
      <c r="F10" s="1" t="s">
        <v>1628</v>
      </c>
      <c r="G10" s="1" t="s">
        <v>1629</v>
      </c>
      <c r="H10" s="1" t="s">
        <v>1630</v>
      </c>
      <c r="I10" s="1" t="s">
        <v>107</v>
      </c>
      <c r="J10" s="1" t="s">
        <v>1631</v>
      </c>
      <c r="K10" s="1" t="s">
        <v>266</v>
      </c>
      <c r="L10" s="1" t="s">
        <v>728</v>
      </c>
      <c r="M10" s="4" t="b">
        <v>0</v>
      </c>
      <c r="N10" s="1" t="s">
        <v>910</v>
      </c>
      <c r="O10" s="1" t="s">
        <v>1632</v>
      </c>
      <c r="P10" s="1" t="s">
        <v>904</v>
      </c>
      <c r="Q10" s="1" t="s">
        <v>1651</v>
      </c>
      <c r="R10" s="1" t="s">
        <v>1425</v>
      </c>
      <c r="S10" s="1" t="s">
        <v>941</v>
      </c>
      <c r="T10" s="1" t="s">
        <v>1634</v>
      </c>
    </row>
    <row r="11" spans="1:20" ht="52" customHeight="1">
      <c r="A11" s="1" t="s">
        <v>1652</v>
      </c>
      <c r="B11" s="1" t="s">
        <v>275</v>
      </c>
      <c r="C11" s="1" t="s">
        <v>1638</v>
      </c>
      <c r="D11" s="1" t="s">
        <v>144</v>
      </c>
      <c r="E11" s="1" t="s">
        <v>1627</v>
      </c>
      <c r="F11" s="1" t="s">
        <v>1628</v>
      </c>
      <c r="G11" s="1" t="s">
        <v>1629</v>
      </c>
      <c r="H11" s="1" t="s">
        <v>1630</v>
      </c>
      <c r="I11" s="1" t="s">
        <v>107</v>
      </c>
      <c r="J11" s="1" t="s">
        <v>1631</v>
      </c>
      <c r="K11" s="1" t="s">
        <v>266</v>
      </c>
      <c r="L11" s="1" t="s">
        <v>1639</v>
      </c>
      <c r="M11" s="4" t="b">
        <v>0</v>
      </c>
      <c r="N11" s="1" t="s">
        <v>910</v>
      </c>
      <c r="O11" s="1" t="s">
        <v>1632</v>
      </c>
      <c r="P11" s="1" t="s">
        <v>904</v>
      </c>
      <c r="Q11" s="1" t="s">
        <v>1651</v>
      </c>
      <c r="R11" s="1" t="s">
        <v>1425</v>
      </c>
      <c r="S11" s="1" t="s">
        <v>941</v>
      </c>
      <c r="T11" s="1" t="s">
        <v>1634</v>
      </c>
    </row>
    <row r="12" spans="1:20" ht="52" customHeight="1">
      <c r="A12" s="1" t="s">
        <v>1653</v>
      </c>
      <c r="B12" s="1" t="s">
        <v>313</v>
      </c>
      <c r="C12" s="1" t="s">
        <v>1654</v>
      </c>
      <c r="D12" s="1" t="s">
        <v>144</v>
      </c>
      <c r="E12" s="1" t="s">
        <v>1627</v>
      </c>
      <c r="F12" s="1" t="s">
        <v>1628</v>
      </c>
      <c r="G12" s="1" t="s">
        <v>1629</v>
      </c>
      <c r="H12" s="1" t="s">
        <v>1630</v>
      </c>
      <c r="I12" s="1" t="s">
        <v>107</v>
      </c>
      <c r="J12" s="1" t="s">
        <v>1631</v>
      </c>
      <c r="K12" s="1" t="s">
        <v>316</v>
      </c>
      <c r="L12" s="1" t="s">
        <v>157</v>
      </c>
      <c r="M12" s="4" t="b">
        <v>0</v>
      </c>
      <c r="N12" s="1" t="s">
        <v>910</v>
      </c>
      <c r="O12" s="1" t="s">
        <v>1632</v>
      </c>
      <c r="P12" s="1" t="s">
        <v>904</v>
      </c>
      <c r="Q12" s="1" t="s">
        <v>1655</v>
      </c>
      <c r="R12" s="1" t="s">
        <v>1425</v>
      </c>
      <c r="S12" s="1" t="s">
        <v>941</v>
      </c>
      <c r="T12" s="1" t="s">
        <v>1643</v>
      </c>
    </row>
    <row r="13" spans="1:20" ht="52" customHeight="1">
      <c r="A13" s="1" t="s">
        <v>1656</v>
      </c>
      <c r="B13" s="1" t="s">
        <v>313</v>
      </c>
      <c r="C13" s="1" t="s">
        <v>1657</v>
      </c>
      <c r="D13" s="1" t="s">
        <v>144</v>
      </c>
      <c r="E13" s="1" t="s">
        <v>1627</v>
      </c>
      <c r="F13" s="1" t="s">
        <v>1628</v>
      </c>
      <c r="G13" s="1" t="s">
        <v>1629</v>
      </c>
      <c r="H13" s="1" t="s">
        <v>1630</v>
      </c>
      <c r="I13" s="1" t="s">
        <v>107</v>
      </c>
      <c r="J13" s="1" t="s">
        <v>1631</v>
      </c>
      <c r="K13" s="1" t="s">
        <v>316</v>
      </c>
      <c r="L13" s="1" t="s">
        <v>157</v>
      </c>
      <c r="M13" s="4" t="b">
        <v>1</v>
      </c>
      <c r="N13" s="1" t="s">
        <v>910</v>
      </c>
      <c r="O13" s="1" t="s">
        <v>1632</v>
      </c>
      <c r="P13" s="1" t="s">
        <v>904</v>
      </c>
      <c r="Q13" s="1" t="s">
        <v>1655</v>
      </c>
      <c r="R13" s="1" t="s">
        <v>1439</v>
      </c>
      <c r="S13" s="1" t="s">
        <v>941</v>
      </c>
      <c r="T13" s="1" t="s">
        <v>1658</v>
      </c>
    </row>
    <row r="14" spans="1:20" ht="52" customHeight="1">
      <c r="A14" s="1" t="s">
        <v>1659</v>
      </c>
      <c r="B14" s="1" t="s">
        <v>313</v>
      </c>
      <c r="C14" s="1" t="s">
        <v>1636</v>
      </c>
      <c r="D14" s="1" t="s">
        <v>144</v>
      </c>
      <c r="E14" s="1" t="s">
        <v>1627</v>
      </c>
      <c r="F14" s="1" t="s">
        <v>1628</v>
      </c>
      <c r="G14" s="1" t="s">
        <v>1629</v>
      </c>
      <c r="H14" s="1" t="s">
        <v>1630</v>
      </c>
      <c r="I14" s="1" t="s">
        <v>107</v>
      </c>
      <c r="J14" s="1" t="s">
        <v>1631</v>
      </c>
      <c r="K14" s="1" t="s">
        <v>316</v>
      </c>
      <c r="L14" s="1" t="s">
        <v>728</v>
      </c>
      <c r="M14" s="4" t="b">
        <v>0</v>
      </c>
      <c r="N14" s="1" t="s">
        <v>910</v>
      </c>
      <c r="O14" s="1" t="s">
        <v>1632</v>
      </c>
      <c r="P14" s="1" t="s">
        <v>904</v>
      </c>
      <c r="Q14" s="1" t="s">
        <v>1655</v>
      </c>
      <c r="R14" s="1" t="s">
        <v>1425</v>
      </c>
      <c r="S14" s="1" t="s">
        <v>941</v>
      </c>
      <c r="T14" s="1" t="s">
        <v>1643</v>
      </c>
    </row>
    <row r="15" spans="1:20" ht="52" customHeight="1">
      <c r="A15" s="1" t="s">
        <v>1660</v>
      </c>
      <c r="B15" s="1" t="s">
        <v>313</v>
      </c>
      <c r="C15" s="1" t="s">
        <v>1638</v>
      </c>
      <c r="D15" s="1" t="s">
        <v>144</v>
      </c>
      <c r="E15" s="1" t="s">
        <v>1627</v>
      </c>
      <c r="F15" s="1" t="s">
        <v>1628</v>
      </c>
      <c r="G15" s="1" t="s">
        <v>1629</v>
      </c>
      <c r="H15" s="1" t="s">
        <v>1630</v>
      </c>
      <c r="I15" s="1" t="s">
        <v>107</v>
      </c>
      <c r="J15" s="1" t="s">
        <v>1631</v>
      </c>
      <c r="K15" s="1" t="s">
        <v>316</v>
      </c>
      <c r="L15" s="1" t="s">
        <v>1639</v>
      </c>
      <c r="M15" s="4" t="b">
        <v>0</v>
      </c>
      <c r="N15" s="1" t="s">
        <v>910</v>
      </c>
      <c r="O15" s="1" t="s">
        <v>1632</v>
      </c>
      <c r="P15" s="1" t="s">
        <v>904</v>
      </c>
      <c r="Q15" s="1" t="s">
        <v>1655</v>
      </c>
      <c r="R15" s="1" t="s">
        <v>1425</v>
      </c>
      <c r="S15" s="1" t="s">
        <v>941</v>
      </c>
      <c r="T15" s="1" t="s">
        <v>1643</v>
      </c>
    </row>
    <row r="16" spans="1:20" ht="52" customHeight="1">
      <c r="A16" s="1" t="s">
        <v>1661</v>
      </c>
      <c r="B16" s="1" t="s">
        <v>321</v>
      </c>
      <c r="C16" s="1" t="s">
        <v>1654</v>
      </c>
      <c r="D16" s="1" t="s">
        <v>144</v>
      </c>
      <c r="E16" s="1" t="s">
        <v>1627</v>
      </c>
      <c r="F16" s="1" t="s">
        <v>1628</v>
      </c>
      <c r="G16" s="1" t="s">
        <v>1629</v>
      </c>
      <c r="H16" s="1" t="s">
        <v>1630</v>
      </c>
      <c r="I16" s="1" t="s">
        <v>107</v>
      </c>
      <c r="J16" s="1" t="s">
        <v>1631</v>
      </c>
      <c r="K16" s="1" t="s">
        <v>323</v>
      </c>
      <c r="L16" s="1" t="s">
        <v>157</v>
      </c>
      <c r="M16" s="4" t="b">
        <v>0</v>
      </c>
      <c r="N16" s="1" t="s">
        <v>910</v>
      </c>
      <c r="O16" s="1" t="s">
        <v>1632</v>
      </c>
      <c r="P16" s="1" t="s">
        <v>904</v>
      </c>
      <c r="Q16" s="1" t="s">
        <v>1662</v>
      </c>
      <c r="R16" s="1" t="s">
        <v>1425</v>
      </c>
      <c r="S16" s="1" t="s">
        <v>941</v>
      </c>
      <c r="T16" s="1" t="s">
        <v>1643</v>
      </c>
    </row>
    <row r="17" spans="1:20" ht="52" customHeight="1">
      <c r="A17" s="1" t="s">
        <v>1663</v>
      </c>
      <c r="B17" s="1" t="s">
        <v>321</v>
      </c>
      <c r="C17" s="1" t="s">
        <v>1657</v>
      </c>
      <c r="D17" s="1" t="s">
        <v>144</v>
      </c>
      <c r="E17" s="1" t="s">
        <v>1627</v>
      </c>
      <c r="F17" s="1" t="s">
        <v>1628</v>
      </c>
      <c r="G17" s="1" t="s">
        <v>1629</v>
      </c>
      <c r="H17" s="1" t="s">
        <v>1630</v>
      </c>
      <c r="I17" s="1" t="s">
        <v>107</v>
      </c>
      <c r="J17" s="1" t="s">
        <v>1631</v>
      </c>
      <c r="K17" s="1" t="s">
        <v>323</v>
      </c>
      <c r="L17" s="1" t="s">
        <v>157</v>
      </c>
      <c r="M17" s="4" t="b">
        <v>1</v>
      </c>
      <c r="N17" s="1" t="s">
        <v>910</v>
      </c>
      <c r="O17" s="1" t="s">
        <v>1632</v>
      </c>
      <c r="P17" s="1" t="s">
        <v>904</v>
      </c>
      <c r="Q17" s="1" t="s">
        <v>1662</v>
      </c>
      <c r="R17" s="1" t="s">
        <v>1439</v>
      </c>
      <c r="S17" s="1" t="s">
        <v>941</v>
      </c>
      <c r="T17" s="1" t="s">
        <v>1658</v>
      </c>
    </row>
    <row r="18" spans="1:20" ht="52" customHeight="1">
      <c r="A18" s="1" t="s">
        <v>1664</v>
      </c>
      <c r="B18" s="1" t="s">
        <v>321</v>
      </c>
      <c r="C18" s="1" t="s">
        <v>1636</v>
      </c>
      <c r="D18" s="1" t="s">
        <v>144</v>
      </c>
      <c r="E18" s="1" t="s">
        <v>1627</v>
      </c>
      <c r="F18" s="1" t="s">
        <v>1628</v>
      </c>
      <c r="G18" s="1" t="s">
        <v>1629</v>
      </c>
      <c r="H18" s="1" t="s">
        <v>1630</v>
      </c>
      <c r="I18" s="1" t="s">
        <v>107</v>
      </c>
      <c r="J18" s="1" t="s">
        <v>1631</v>
      </c>
      <c r="K18" s="1" t="s">
        <v>323</v>
      </c>
      <c r="L18" s="1" t="s">
        <v>728</v>
      </c>
      <c r="M18" s="4" t="b">
        <v>0</v>
      </c>
      <c r="N18" s="1" t="s">
        <v>910</v>
      </c>
      <c r="O18" s="1" t="s">
        <v>1632</v>
      </c>
      <c r="P18" s="1" t="s">
        <v>904</v>
      </c>
      <c r="Q18" s="1" t="s">
        <v>1662</v>
      </c>
      <c r="R18" s="1" t="s">
        <v>1425</v>
      </c>
      <c r="S18" s="1" t="s">
        <v>941</v>
      </c>
      <c r="T18" s="1" t="s">
        <v>1643</v>
      </c>
    </row>
    <row r="19" spans="1:20" ht="52" customHeight="1">
      <c r="A19" s="1" t="s">
        <v>1665</v>
      </c>
      <c r="B19" s="1" t="s">
        <v>321</v>
      </c>
      <c r="C19" s="1" t="s">
        <v>1638</v>
      </c>
      <c r="D19" s="1" t="s">
        <v>144</v>
      </c>
      <c r="E19" s="1" t="s">
        <v>1627</v>
      </c>
      <c r="F19" s="1" t="s">
        <v>1628</v>
      </c>
      <c r="G19" s="1" t="s">
        <v>1629</v>
      </c>
      <c r="H19" s="1" t="s">
        <v>1630</v>
      </c>
      <c r="I19" s="1" t="s">
        <v>107</v>
      </c>
      <c r="J19" s="1" t="s">
        <v>1631</v>
      </c>
      <c r="K19" s="1" t="s">
        <v>323</v>
      </c>
      <c r="L19" s="1" t="s">
        <v>1639</v>
      </c>
      <c r="M19" s="4" t="b">
        <v>0</v>
      </c>
      <c r="N19" s="1" t="s">
        <v>910</v>
      </c>
      <c r="O19" s="1" t="s">
        <v>1632</v>
      </c>
      <c r="P19" s="1" t="s">
        <v>904</v>
      </c>
      <c r="Q19" s="1" t="s">
        <v>1662</v>
      </c>
      <c r="R19" s="1" t="s">
        <v>1425</v>
      </c>
      <c r="S19" s="1" t="s">
        <v>941</v>
      </c>
      <c r="T19" s="1" t="s">
        <v>1643</v>
      </c>
    </row>
    <row r="20" spans="1:20" ht="52" customHeight="1">
      <c r="A20" s="1" t="s">
        <v>1666</v>
      </c>
      <c r="B20" s="1" t="s">
        <v>327</v>
      </c>
      <c r="C20" s="1" t="s">
        <v>1654</v>
      </c>
      <c r="D20" s="1" t="s">
        <v>144</v>
      </c>
      <c r="E20" s="1" t="s">
        <v>1627</v>
      </c>
      <c r="F20" s="1" t="s">
        <v>1628</v>
      </c>
      <c r="G20" s="1" t="s">
        <v>1629</v>
      </c>
      <c r="H20" s="1" t="s">
        <v>1630</v>
      </c>
      <c r="I20" s="1" t="s">
        <v>107</v>
      </c>
      <c r="J20" s="1" t="s">
        <v>1631</v>
      </c>
      <c r="K20" s="1" t="s">
        <v>329</v>
      </c>
      <c r="L20" s="1" t="s">
        <v>157</v>
      </c>
      <c r="M20" s="4" t="b">
        <v>0</v>
      </c>
      <c r="N20" s="1" t="s">
        <v>910</v>
      </c>
      <c r="O20" s="1" t="s">
        <v>1632</v>
      </c>
      <c r="P20" s="1" t="s">
        <v>904</v>
      </c>
      <c r="Q20" s="1" t="s">
        <v>1667</v>
      </c>
      <c r="R20" s="1" t="s">
        <v>1425</v>
      </c>
      <c r="S20" s="1" t="s">
        <v>941</v>
      </c>
      <c r="T20" s="1" t="s">
        <v>1643</v>
      </c>
    </row>
    <row r="21" spans="1:20" ht="52" customHeight="1">
      <c r="A21" s="1" t="s">
        <v>1668</v>
      </c>
      <c r="B21" s="1" t="s">
        <v>327</v>
      </c>
      <c r="C21" s="1" t="s">
        <v>1657</v>
      </c>
      <c r="D21" s="1" t="s">
        <v>144</v>
      </c>
      <c r="E21" s="1" t="s">
        <v>1627</v>
      </c>
      <c r="F21" s="1" t="s">
        <v>1628</v>
      </c>
      <c r="G21" s="1" t="s">
        <v>1629</v>
      </c>
      <c r="H21" s="1" t="s">
        <v>1630</v>
      </c>
      <c r="I21" s="1" t="s">
        <v>107</v>
      </c>
      <c r="J21" s="1" t="s">
        <v>1631</v>
      </c>
      <c r="K21" s="1" t="s">
        <v>329</v>
      </c>
      <c r="L21" s="1" t="s">
        <v>157</v>
      </c>
      <c r="M21" s="4" t="b">
        <v>1</v>
      </c>
      <c r="N21" s="1" t="s">
        <v>910</v>
      </c>
      <c r="O21" s="1" t="s">
        <v>1632</v>
      </c>
      <c r="P21" s="1" t="s">
        <v>904</v>
      </c>
      <c r="Q21" s="1" t="s">
        <v>1667</v>
      </c>
      <c r="R21" s="1" t="s">
        <v>1439</v>
      </c>
      <c r="S21" s="1" t="s">
        <v>941</v>
      </c>
      <c r="T21" s="1" t="s">
        <v>1658</v>
      </c>
    </row>
    <row r="22" spans="1:20" ht="52" customHeight="1">
      <c r="A22" s="1" t="s">
        <v>1669</v>
      </c>
      <c r="B22" s="1" t="s">
        <v>327</v>
      </c>
      <c r="C22" s="1" t="s">
        <v>1636</v>
      </c>
      <c r="D22" s="1" t="s">
        <v>144</v>
      </c>
      <c r="E22" s="1" t="s">
        <v>1627</v>
      </c>
      <c r="F22" s="1" t="s">
        <v>1628</v>
      </c>
      <c r="G22" s="1" t="s">
        <v>1629</v>
      </c>
      <c r="H22" s="1" t="s">
        <v>1630</v>
      </c>
      <c r="I22" s="1" t="s">
        <v>107</v>
      </c>
      <c r="J22" s="1" t="s">
        <v>1631</v>
      </c>
      <c r="K22" s="1" t="s">
        <v>329</v>
      </c>
      <c r="L22" s="1" t="s">
        <v>728</v>
      </c>
      <c r="M22" s="4" t="b">
        <v>0</v>
      </c>
      <c r="N22" s="1" t="s">
        <v>910</v>
      </c>
      <c r="O22" s="1" t="s">
        <v>1632</v>
      </c>
      <c r="P22" s="1" t="s">
        <v>904</v>
      </c>
      <c r="Q22" s="1" t="s">
        <v>1667</v>
      </c>
      <c r="R22" s="1" t="s">
        <v>1425</v>
      </c>
      <c r="S22" s="1" t="s">
        <v>941</v>
      </c>
      <c r="T22" s="1" t="s">
        <v>1643</v>
      </c>
    </row>
    <row r="23" spans="1:20" ht="52" customHeight="1">
      <c r="A23" s="1" t="s">
        <v>1670</v>
      </c>
      <c r="B23" s="1" t="s">
        <v>327</v>
      </c>
      <c r="C23" s="1" t="s">
        <v>1638</v>
      </c>
      <c r="D23" s="1" t="s">
        <v>144</v>
      </c>
      <c r="E23" s="1" t="s">
        <v>1627</v>
      </c>
      <c r="F23" s="1" t="s">
        <v>1628</v>
      </c>
      <c r="G23" s="1" t="s">
        <v>1629</v>
      </c>
      <c r="H23" s="1" t="s">
        <v>1630</v>
      </c>
      <c r="I23" s="1" t="s">
        <v>107</v>
      </c>
      <c r="J23" s="1" t="s">
        <v>1631</v>
      </c>
      <c r="K23" s="1" t="s">
        <v>329</v>
      </c>
      <c r="L23" s="1" t="s">
        <v>1639</v>
      </c>
      <c r="M23" s="4" t="b">
        <v>0</v>
      </c>
      <c r="N23" s="1" t="s">
        <v>910</v>
      </c>
      <c r="O23" s="1" t="s">
        <v>1632</v>
      </c>
      <c r="P23" s="1" t="s">
        <v>904</v>
      </c>
      <c r="Q23" s="1" t="s">
        <v>1667</v>
      </c>
      <c r="R23" s="1" t="s">
        <v>1425</v>
      </c>
      <c r="S23" s="1" t="s">
        <v>941</v>
      </c>
      <c r="T23" s="1" t="s">
        <v>1643</v>
      </c>
    </row>
    <row r="24" spans="1:20" ht="52" customHeight="1">
      <c r="A24" s="1" t="s">
        <v>1671</v>
      </c>
      <c r="B24" s="1" t="s">
        <v>333</v>
      </c>
      <c r="C24" s="1" t="s">
        <v>1626</v>
      </c>
      <c r="D24" s="1" t="s">
        <v>290</v>
      </c>
      <c r="E24" s="1" t="s">
        <v>1672</v>
      </c>
      <c r="F24" s="1" t="s">
        <v>1673</v>
      </c>
      <c r="G24" s="1" t="s">
        <v>1674</v>
      </c>
      <c r="H24" s="1" t="s">
        <v>1675</v>
      </c>
      <c r="I24" s="1" t="s">
        <v>107</v>
      </c>
      <c r="J24" s="1" t="s">
        <v>1631</v>
      </c>
      <c r="K24" s="1" t="s">
        <v>284</v>
      </c>
      <c r="L24" s="1" t="s">
        <v>157</v>
      </c>
      <c r="M24" s="4" t="b">
        <v>0</v>
      </c>
      <c r="N24" s="1" t="s">
        <v>910</v>
      </c>
      <c r="O24" s="1" t="s">
        <v>1632</v>
      </c>
      <c r="P24" s="1" t="s">
        <v>904</v>
      </c>
      <c r="Q24" s="1" t="s">
        <v>1676</v>
      </c>
      <c r="R24" s="1" t="s">
        <v>1425</v>
      </c>
      <c r="S24" s="1" t="s">
        <v>941</v>
      </c>
      <c r="T24" s="1" t="s">
        <v>1643</v>
      </c>
    </row>
    <row r="25" spans="1:20" ht="52" customHeight="1">
      <c r="A25" s="1" t="s">
        <v>1677</v>
      </c>
      <c r="B25" s="1" t="s">
        <v>427</v>
      </c>
      <c r="C25" s="1" t="s">
        <v>1626</v>
      </c>
      <c r="D25" s="1" t="s">
        <v>428</v>
      </c>
      <c r="E25" s="1" t="s">
        <v>1678</v>
      </c>
      <c r="F25" s="1" t="s">
        <v>1679</v>
      </c>
      <c r="G25" s="1" t="s">
        <v>1680</v>
      </c>
      <c r="H25" s="1" t="s">
        <v>1681</v>
      </c>
      <c r="I25" s="1" t="s">
        <v>407</v>
      </c>
      <c r="J25" s="1" t="s">
        <v>1682</v>
      </c>
      <c r="K25" s="1" t="s">
        <v>429</v>
      </c>
      <c r="L25" s="1" t="s">
        <v>157</v>
      </c>
      <c r="M25" s="4" t="b">
        <v>0</v>
      </c>
      <c r="N25" s="1" t="s">
        <v>910</v>
      </c>
      <c r="O25" s="1" t="s">
        <v>1632</v>
      </c>
      <c r="P25" s="1" t="s">
        <v>904</v>
      </c>
      <c r="Q25" s="1" t="s">
        <v>1683</v>
      </c>
      <c r="R25" s="1" t="s">
        <v>1425</v>
      </c>
      <c r="S25" s="1" t="s">
        <v>941</v>
      </c>
      <c r="T25" s="1" t="s">
        <v>1684</v>
      </c>
    </row>
    <row r="26" spans="1:20" ht="52" customHeight="1">
      <c r="A26" s="1" t="s">
        <v>1685</v>
      </c>
      <c r="B26" s="1" t="s">
        <v>450</v>
      </c>
      <c r="C26" s="1" t="s">
        <v>1636</v>
      </c>
      <c r="D26" s="1" t="s">
        <v>428</v>
      </c>
      <c r="E26" s="1" t="s">
        <v>1678</v>
      </c>
      <c r="F26" s="1" t="s">
        <v>1679</v>
      </c>
      <c r="G26" s="1" t="s">
        <v>1680</v>
      </c>
      <c r="H26" s="1" t="s">
        <v>1681</v>
      </c>
      <c r="I26" s="1" t="s">
        <v>407</v>
      </c>
      <c r="J26" s="1" t="s">
        <v>1682</v>
      </c>
      <c r="K26" s="1" t="s">
        <v>439</v>
      </c>
      <c r="L26" s="1" t="s">
        <v>728</v>
      </c>
      <c r="M26" s="4" t="b">
        <v>0</v>
      </c>
      <c r="N26" s="1" t="s">
        <v>910</v>
      </c>
      <c r="O26" s="1" t="s">
        <v>1632</v>
      </c>
      <c r="P26" s="1" t="s">
        <v>904</v>
      </c>
      <c r="Q26" s="1" t="s">
        <v>1686</v>
      </c>
      <c r="R26" s="1" t="s">
        <v>1425</v>
      </c>
      <c r="S26" s="1" t="s">
        <v>941</v>
      </c>
      <c r="T26" s="1" t="s">
        <v>1643</v>
      </c>
    </row>
    <row r="27" spans="1:20" ht="52" customHeight="1">
      <c r="A27" s="1" t="s">
        <v>1687</v>
      </c>
      <c r="B27" s="1" t="s">
        <v>462</v>
      </c>
      <c r="C27" s="1" t="s">
        <v>1636</v>
      </c>
      <c r="D27" s="1" t="s">
        <v>428</v>
      </c>
      <c r="E27" s="1" t="s">
        <v>1678</v>
      </c>
      <c r="F27" s="1" t="s">
        <v>1679</v>
      </c>
      <c r="G27" s="1" t="s">
        <v>1680</v>
      </c>
      <c r="H27" s="1" t="s">
        <v>1681</v>
      </c>
      <c r="I27" s="1" t="s">
        <v>407</v>
      </c>
      <c r="J27" s="1" t="s">
        <v>1682</v>
      </c>
      <c r="K27" s="1" t="s">
        <v>459</v>
      </c>
      <c r="L27" s="1" t="s">
        <v>728</v>
      </c>
      <c r="M27" s="4" t="b">
        <v>0</v>
      </c>
      <c r="N27" s="1" t="s">
        <v>910</v>
      </c>
      <c r="O27" s="1" t="s">
        <v>1632</v>
      </c>
      <c r="P27" s="1" t="s">
        <v>904</v>
      </c>
      <c r="Q27" s="1" t="s">
        <v>1688</v>
      </c>
      <c r="R27" s="1" t="s">
        <v>1425</v>
      </c>
      <c r="S27" s="1" t="s">
        <v>941</v>
      </c>
      <c r="T27" s="1" t="s">
        <v>1643</v>
      </c>
    </row>
    <row r="28" spans="1:20" ht="52" customHeight="1">
      <c r="A28" s="1" t="s">
        <v>1689</v>
      </c>
      <c r="B28" s="1" t="s">
        <v>450</v>
      </c>
      <c r="C28" s="1" t="s">
        <v>1638</v>
      </c>
      <c r="D28" s="1" t="s">
        <v>428</v>
      </c>
      <c r="E28" s="1" t="s">
        <v>1678</v>
      </c>
      <c r="F28" s="1" t="s">
        <v>1679</v>
      </c>
      <c r="G28" s="1" t="s">
        <v>1680</v>
      </c>
      <c r="H28" s="1" t="s">
        <v>1681</v>
      </c>
      <c r="I28" s="1" t="s">
        <v>407</v>
      </c>
      <c r="J28" s="1" t="s">
        <v>1682</v>
      </c>
      <c r="K28" s="1" t="s">
        <v>439</v>
      </c>
      <c r="L28" s="1" t="s">
        <v>1639</v>
      </c>
      <c r="M28" s="4" t="b">
        <v>0</v>
      </c>
      <c r="N28" s="1" t="s">
        <v>910</v>
      </c>
      <c r="O28" s="1" t="s">
        <v>1632</v>
      </c>
      <c r="P28" s="1" t="s">
        <v>904</v>
      </c>
      <c r="Q28" s="1" t="s">
        <v>1686</v>
      </c>
      <c r="R28" s="1" t="s">
        <v>1425</v>
      </c>
      <c r="S28" s="1" t="s">
        <v>941</v>
      </c>
      <c r="T28" s="1" t="s">
        <v>1643</v>
      </c>
    </row>
    <row r="29" spans="1:20" ht="52" customHeight="1">
      <c r="A29" s="1" t="s">
        <v>1690</v>
      </c>
      <c r="B29" s="1" t="s">
        <v>462</v>
      </c>
      <c r="C29" s="1" t="s">
        <v>1638</v>
      </c>
      <c r="D29" s="1" t="s">
        <v>428</v>
      </c>
      <c r="E29" s="1" t="s">
        <v>1678</v>
      </c>
      <c r="F29" s="1" t="s">
        <v>1679</v>
      </c>
      <c r="G29" s="1" t="s">
        <v>1680</v>
      </c>
      <c r="H29" s="1" t="s">
        <v>1681</v>
      </c>
      <c r="I29" s="1" t="s">
        <v>407</v>
      </c>
      <c r="J29" s="1" t="s">
        <v>1682</v>
      </c>
      <c r="K29" s="1" t="s">
        <v>459</v>
      </c>
      <c r="L29" s="1" t="s">
        <v>1639</v>
      </c>
      <c r="M29" s="4" t="b">
        <v>0</v>
      </c>
      <c r="N29" s="1" t="s">
        <v>910</v>
      </c>
      <c r="O29" s="1" t="s">
        <v>1632</v>
      </c>
      <c r="P29" s="1" t="s">
        <v>904</v>
      </c>
      <c r="Q29" s="1" t="s">
        <v>1688</v>
      </c>
      <c r="R29" s="1" t="s">
        <v>1425</v>
      </c>
      <c r="S29" s="1" t="s">
        <v>941</v>
      </c>
      <c r="T29" s="1" t="s">
        <v>1643</v>
      </c>
    </row>
    <row r="30" spans="1:20" ht="52" customHeight="1">
      <c r="A30" s="1" t="s">
        <v>1691</v>
      </c>
      <c r="B30" s="1" t="s">
        <v>509</v>
      </c>
      <c r="C30" s="1" t="s">
        <v>1626</v>
      </c>
      <c r="D30" s="1" t="s">
        <v>428</v>
      </c>
      <c r="E30" s="1" t="s">
        <v>1678</v>
      </c>
      <c r="F30" s="1" t="s">
        <v>1679</v>
      </c>
      <c r="G30" s="1" t="s">
        <v>1680</v>
      </c>
      <c r="H30" s="1" t="s">
        <v>1681</v>
      </c>
      <c r="I30" s="1" t="s">
        <v>407</v>
      </c>
      <c r="J30" s="1" t="s">
        <v>1682</v>
      </c>
      <c r="K30" s="1" t="s">
        <v>510</v>
      </c>
      <c r="L30" s="1" t="s">
        <v>157</v>
      </c>
      <c r="M30" s="4" t="b">
        <v>0</v>
      </c>
      <c r="N30" s="1" t="s">
        <v>910</v>
      </c>
      <c r="O30" s="1" t="s">
        <v>1632</v>
      </c>
      <c r="P30" s="1" t="s">
        <v>904</v>
      </c>
      <c r="Q30" s="1" t="s">
        <v>1692</v>
      </c>
      <c r="R30" s="1" t="s">
        <v>1425</v>
      </c>
      <c r="S30" s="1" t="s">
        <v>941</v>
      </c>
      <c r="T30" s="1" t="s">
        <v>1684</v>
      </c>
    </row>
    <row r="31" spans="1:20" ht="52" customHeight="1">
      <c r="A31" s="1" t="s">
        <v>1693</v>
      </c>
      <c r="B31" s="1" t="s">
        <v>521</v>
      </c>
      <c r="C31" s="1" t="s">
        <v>1626</v>
      </c>
      <c r="D31" s="1" t="s">
        <v>428</v>
      </c>
      <c r="E31" s="1" t="s">
        <v>1678</v>
      </c>
      <c r="F31" s="1" t="s">
        <v>1679</v>
      </c>
      <c r="G31" s="1" t="s">
        <v>1680</v>
      </c>
      <c r="H31" s="1" t="s">
        <v>1681</v>
      </c>
      <c r="I31" s="1" t="s">
        <v>407</v>
      </c>
      <c r="J31" s="1" t="s">
        <v>1682</v>
      </c>
      <c r="K31" s="1" t="s">
        <v>522</v>
      </c>
      <c r="L31" s="1" t="s">
        <v>157</v>
      </c>
      <c r="M31" s="4" t="b">
        <v>0</v>
      </c>
      <c r="N31" s="1" t="s">
        <v>910</v>
      </c>
      <c r="O31" s="1" t="s">
        <v>1632</v>
      </c>
      <c r="P31" s="1" t="s">
        <v>904</v>
      </c>
      <c r="Q31" s="1" t="s">
        <v>1694</v>
      </c>
      <c r="R31" s="1" t="s">
        <v>1425</v>
      </c>
      <c r="S31" s="1" t="s">
        <v>941</v>
      </c>
      <c r="T31" s="1" t="s">
        <v>1684</v>
      </c>
    </row>
    <row r="32" spans="1:20" ht="52" customHeight="1">
      <c r="A32" s="1" t="s">
        <v>1695</v>
      </c>
      <c r="B32" s="1" t="s">
        <v>578</v>
      </c>
      <c r="C32" s="1" t="s">
        <v>1654</v>
      </c>
      <c r="D32" s="1" t="s">
        <v>428</v>
      </c>
      <c r="E32" s="1" t="s">
        <v>1678</v>
      </c>
      <c r="F32" s="1" t="s">
        <v>1679</v>
      </c>
      <c r="G32" s="1" t="s">
        <v>1680</v>
      </c>
      <c r="H32" s="1" t="s">
        <v>1681</v>
      </c>
      <c r="I32" s="1" t="s">
        <v>407</v>
      </c>
      <c r="J32" s="1" t="s">
        <v>1682</v>
      </c>
      <c r="K32" s="1" t="s">
        <v>581</v>
      </c>
      <c r="L32" s="1" t="s">
        <v>157</v>
      </c>
      <c r="M32" s="4" t="b">
        <v>0</v>
      </c>
      <c r="N32" s="1" t="s">
        <v>910</v>
      </c>
      <c r="O32" s="1" t="s">
        <v>1632</v>
      </c>
      <c r="P32" s="1" t="s">
        <v>904</v>
      </c>
      <c r="Q32" s="1" t="s">
        <v>1696</v>
      </c>
      <c r="R32" s="1" t="s">
        <v>1425</v>
      </c>
      <c r="S32" s="1" t="s">
        <v>941</v>
      </c>
      <c r="T32" s="1" t="s">
        <v>1643</v>
      </c>
    </row>
    <row r="33" spans="1:20" ht="52" customHeight="1">
      <c r="A33" s="1" t="s">
        <v>1697</v>
      </c>
      <c r="B33" s="1" t="s">
        <v>578</v>
      </c>
      <c r="C33" s="1" t="s">
        <v>1657</v>
      </c>
      <c r="D33" s="1" t="s">
        <v>428</v>
      </c>
      <c r="E33" s="1" t="s">
        <v>1678</v>
      </c>
      <c r="F33" s="1" t="s">
        <v>1679</v>
      </c>
      <c r="G33" s="1" t="s">
        <v>1680</v>
      </c>
      <c r="H33" s="1" t="s">
        <v>1681</v>
      </c>
      <c r="I33" s="1" t="s">
        <v>407</v>
      </c>
      <c r="J33" s="1" t="s">
        <v>1682</v>
      </c>
      <c r="K33" s="1" t="s">
        <v>581</v>
      </c>
      <c r="L33" s="1" t="s">
        <v>157</v>
      </c>
      <c r="M33" s="4" t="b">
        <v>1</v>
      </c>
      <c r="N33" s="1" t="s">
        <v>910</v>
      </c>
      <c r="O33" s="1" t="s">
        <v>1632</v>
      </c>
      <c r="P33" s="1" t="s">
        <v>904</v>
      </c>
      <c r="Q33" s="1" t="s">
        <v>1696</v>
      </c>
      <c r="R33" s="1" t="s">
        <v>1439</v>
      </c>
      <c r="S33" s="1" t="s">
        <v>941</v>
      </c>
      <c r="T33" s="1" t="s">
        <v>1658</v>
      </c>
    </row>
    <row r="34" spans="1:20" ht="52" customHeight="1">
      <c r="A34" s="1" t="s">
        <v>1698</v>
      </c>
      <c r="B34" s="1" t="s">
        <v>586</v>
      </c>
      <c r="C34" s="1" t="s">
        <v>1654</v>
      </c>
      <c r="D34" s="1" t="s">
        <v>428</v>
      </c>
      <c r="E34" s="1" t="s">
        <v>1678</v>
      </c>
      <c r="F34" s="1" t="s">
        <v>1679</v>
      </c>
      <c r="G34" s="1" t="s">
        <v>1680</v>
      </c>
      <c r="H34" s="1" t="s">
        <v>1681</v>
      </c>
      <c r="I34" s="1" t="s">
        <v>407</v>
      </c>
      <c r="J34" s="1" t="s">
        <v>1682</v>
      </c>
      <c r="K34" s="1" t="s">
        <v>588</v>
      </c>
      <c r="L34" s="1" t="s">
        <v>157</v>
      </c>
      <c r="M34" s="4" t="b">
        <v>0</v>
      </c>
      <c r="N34" s="1" t="s">
        <v>910</v>
      </c>
      <c r="O34" s="1" t="s">
        <v>1632</v>
      </c>
      <c r="P34" s="1" t="s">
        <v>904</v>
      </c>
      <c r="Q34" s="1" t="s">
        <v>1699</v>
      </c>
      <c r="R34" s="1" t="s">
        <v>1425</v>
      </c>
      <c r="S34" s="1" t="s">
        <v>941</v>
      </c>
      <c r="T34" s="1" t="s">
        <v>1643</v>
      </c>
    </row>
    <row r="35" spans="1:20" ht="52" customHeight="1">
      <c r="A35" s="1" t="s">
        <v>1700</v>
      </c>
      <c r="B35" s="1" t="s">
        <v>586</v>
      </c>
      <c r="C35" s="1" t="s">
        <v>1657</v>
      </c>
      <c r="D35" s="1" t="s">
        <v>428</v>
      </c>
      <c r="E35" s="1" t="s">
        <v>1678</v>
      </c>
      <c r="F35" s="1" t="s">
        <v>1679</v>
      </c>
      <c r="G35" s="1" t="s">
        <v>1680</v>
      </c>
      <c r="H35" s="1" t="s">
        <v>1681</v>
      </c>
      <c r="I35" s="1" t="s">
        <v>407</v>
      </c>
      <c r="J35" s="1" t="s">
        <v>1682</v>
      </c>
      <c r="K35" s="1" t="s">
        <v>588</v>
      </c>
      <c r="L35" s="1" t="s">
        <v>157</v>
      </c>
      <c r="M35" s="4" t="b">
        <v>1</v>
      </c>
      <c r="N35" s="1" t="s">
        <v>910</v>
      </c>
      <c r="O35" s="1" t="s">
        <v>1632</v>
      </c>
      <c r="P35" s="1" t="s">
        <v>904</v>
      </c>
      <c r="Q35" s="1" t="s">
        <v>1699</v>
      </c>
      <c r="R35" s="1" t="s">
        <v>1439</v>
      </c>
      <c r="S35" s="1" t="s">
        <v>941</v>
      </c>
      <c r="T35" s="1" t="s">
        <v>1658</v>
      </c>
    </row>
    <row r="36" spans="1:20" ht="52" customHeight="1">
      <c r="A36" s="1" t="s">
        <v>1701</v>
      </c>
      <c r="B36" s="1" t="s">
        <v>593</v>
      </c>
      <c r="C36" s="1" t="s">
        <v>1654</v>
      </c>
      <c r="D36" s="1" t="s">
        <v>428</v>
      </c>
      <c r="E36" s="1" t="s">
        <v>1678</v>
      </c>
      <c r="F36" s="1" t="s">
        <v>1679</v>
      </c>
      <c r="G36" s="1" t="s">
        <v>1680</v>
      </c>
      <c r="H36" s="1" t="s">
        <v>1681</v>
      </c>
      <c r="I36" s="1" t="s">
        <v>407</v>
      </c>
      <c r="J36" s="1" t="s">
        <v>1682</v>
      </c>
      <c r="K36" s="1" t="s">
        <v>595</v>
      </c>
      <c r="L36" s="1" t="s">
        <v>157</v>
      </c>
      <c r="M36" s="4" t="b">
        <v>0</v>
      </c>
      <c r="N36" s="1" t="s">
        <v>910</v>
      </c>
      <c r="O36" s="1" t="s">
        <v>1632</v>
      </c>
      <c r="P36" s="1" t="s">
        <v>904</v>
      </c>
      <c r="Q36" s="1" t="s">
        <v>1702</v>
      </c>
      <c r="R36" s="1" t="s">
        <v>1425</v>
      </c>
      <c r="S36" s="1" t="s">
        <v>941</v>
      </c>
      <c r="T36" s="1" t="s">
        <v>1643</v>
      </c>
    </row>
    <row r="37" spans="1:20" ht="52" customHeight="1">
      <c r="A37" s="1" t="s">
        <v>1703</v>
      </c>
      <c r="B37" s="1" t="s">
        <v>593</v>
      </c>
      <c r="C37" s="1" t="s">
        <v>1657</v>
      </c>
      <c r="D37" s="1" t="s">
        <v>428</v>
      </c>
      <c r="E37" s="1" t="s">
        <v>1678</v>
      </c>
      <c r="F37" s="1" t="s">
        <v>1679</v>
      </c>
      <c r="G37" s="1" t="s">
        <v>1680</v>
      </c>
      <c r="H37" s="1" t="s">
        <v>1681</v>
      </c>
      <c r="I37" s="1" t="s">
        <v>407</v>
      </c>
      <c r="J37" s="1" t="s">
        <v>1682</v>
      </c>
      <c r="K37" s="1" t="s">
        <v>595</v>
      </c>
      <c r="L37" s="1" t="s">
        <v>157</v>
      </c>
      <c r="M37" s="4" t="b">
        <v>1</v>
      </c>
      <c r="N37" s="1" t="s">
        <v>910</v>
      </c>
      <c r="O37" s="1" t="s">
        <v>1632</v>
      </c>
      <c r="P37" s="1" t="s">
        <v>904</v>
      </c>
      <c r="Q37" s="1" t="s">
        <v>1702</v>
      </c>
      <c r="R37" s="1" t="s">
        <v>1439</v>
      </c>
      <c r="S37" s="1" t="s">
        <v>941</v>
      </c>
      <c r="T37" s="1" t="s">
        <v>1658</v>
      </c>
    </row>
    <row r="38" spans="1:20" ht="52" customHeight="1">
      <c r="A38" s="1" t="s">
        <v>1704</v>
      </c>
      <c r="B38" s="1" t="s">
        <v>655</v>
      </c>
      <c r="C38" s="1" t="s">
        <v>1705</v>
      </c>
      <c r="D38" s="1" t="s">
        <v>633</v>
      </c>
      <c r="E38" s="1" t="s">
        <v>1706</v>
      </c>
      <c r="F38" s="1" t="s">
        <v>1707</v>
      </c>
      <c r="G38" s="1" t="s">
        <v>1708</v>
      </c>
      <c r="H38" s="1" t="s">
        <v>1709</v>
      </c>
      <c r="I38" s="1" t="s">
        <v>632</v>
      </c>
      <c r="J38" s="1" t="s">
        <v>1710</v>
      </c>
      <c r="K38" s="1" t="s">
        <v>638</v>
      </c>
      <c r="L38" s="1" t="s">
        <v>1711</v>
      </c>
      <c r="M38" s="4" t="b">
        <v>0</v>
      </c>
      <c r="N38" s="1" t="s">
        <v>910</v>
      </c>
      <c r="O38" s="1" t="s">
        <v>1632</v>
      </c>
      <c r="P38" s="1" t="s">
        <v>904</v>
      </c>
      <c r="Q38" s="1" t="s">
        <v>1712</v>
      </c>
      <c r="R38" s="1" t="s">
        <v>1425</v>
      </c>
      <c r="S38" s="1" t="s">
        <v>941</v>
      </c>
      <c r="T38" s="1" t="s">
        <v>1713</v>
      </c>
    </row>
    <row r="39" spans="1:20" ht="52" customHeight="1">
      <c r="A39" s="1" t="s">
        <v>1714</v>
      </c>
      <c r="B39" s="1" t="s">
        <v>673</v>
      </c>
      <c r="C39" s="1" t="s">
        <v>1715</v>
      </c>
      <c r="D39" s="1" t="s">
        <v>633</v>
      </c>
      <c r="E39" s="1" t="s">
        <v>1706</v>
      </c>
      <c r="F39" s="1" t="s">
        <v>1707</v>
      </c>
      <c r="G39" s="1" t="s">
        <v>1708</v>
      </c>
      <c r="H39" s="1" t="s">
        <v>1709</v>
      </c>
      <c r="I39" s="1" t="s">
        <v>632</v>
      </c>
      <c r="J39" s="1" t="s">
        <v>1710</v>
      </c>
      <c r="K39" s="1" t="s">
        <v>664</v>
      </c>
      <c r="L39" s="1" t="s">
        <v>1716</v>
      </c>
      <c r="M39" s="4" t="b">
        <v>0</v>
      </c>
      <c r="N39" s="1" t="s">
        <v>910</v>
      </c>
      <c r="O39" s="1" t="s">
        <v>1632</v>
      </c>
      <c r="P39" s="1" t="s">
        <v>904</v>
      </c>
      <c r="Q39" s="1" t="s">
        <v>1717</v>
      </c>
      <c r="R39" s="1" t="s">
        <v>1425</v>
      </c>
      <c r="S39" s="1" t="s">
        <v>941</v>
      </c>
      <c r="T39" s="1" t="s">
        <v>1718</v>
      </c>
    </row>
    <row r="40" spans="1:20" ht="52" customHeight="1">
      <c r="A40" s="1" t="s">
        <v>1719</v>
      </c>
      <c r="B40" s="1" t="s">
        <v>767</v>
      </c>
      <c r="C40" s="1" t="s">
        <v>1715</v>
      </c>
      <c r="D40" s="1" t="s">
        <v>764</v>
      </c>
      <c r="E40" s="1" t="s">
        <v>1720</v>
      </c>
      <c r="F40" s="1" t="s">
        <v>1721</v>
      </c>
      <c r="G40" s="1" t="s">
        <v>1722</v>
      </c>
      <c r="H40" s="1" t="s">
        <v>1723</v>
      </c>
      <c r="I40" s="1" t="s">
        <v>632</v>
      </c>
      <c r="J40" s="1" t="s">
        <v>1710</v>
      </c>
      <c r="K40" s="1" t="s">
        <v>683</v>
      </c>
      <c r="L40" s="1" t="s">
        <v>1724</v>
      </c>
      <c r="M40" s="4" t="b">
        <v>0</v>
      </c>
      <c r="N40" s="1" t="s">
        <v>910</v>
      </c>
      <c r="O40" s="1" t="s">
        <v>1632</v>
      </c>
      <c r="P40" s="1" t="s">
        <v>904</v>
      </c>
      <c r="Q40" s="1" t="s">
        <v>1725</v>
      </c>
      <c r="R40" s="1" t="s">
        <v>1425</v>
      </c>
      <c r="S40" s="1" t="s">
        <v>941</v>
      </c>
      <c r="T40" s="1" t="s">
        <v>1726</v>
      </c>
    </row>
    <row r="41" spans="1:20" ht="52" customHeight="1">
      <c r="A41" s="1" t="s">
        <v>1727</v>
      </c>
      <c r="B41" s="1" t="s">
        <v>786</v>
      </c>
      <c r="C41" s="1" t="s">
        <v>1715</v>
      </c>
      <c r="D41" s="1" t="s">
        <v>772</v>
      </c>
      <c r="E41" s="1" t="s">
        <v>1728</v>
      </c>
      <c r="F41" s="1" t="s">
        <v>1729</v>
      </c>
      <c r="G41" s="1" t="s">
        <v>1730</v>
      </c>
      <c r="H41" s="1" t="s">
        <v>1731</v>
      </c>
      <c r="I41" s="1" t="s">
        <v>632</v>
      </c>
      <c r="J41" s="1" t="s">
        <v>1710</v>
      </c>
      <c r="K41" s="1" t="s">
        <v>777</v>
      </c>
      <c r="L41" s="1" t="s">
        <v>1732</v>
      </c>
      <c r="M41" s="4" t="b">
        <v>0</v>
      </c>
      <c r="N41" s="1" t="s">
        <v>910</v>
      </c>
      <c r="O41" s="1" t="s">
        <v>1632</v>
      </c>
      <c r="P41" s="1" t="s">
        <v>904</v>
      </c>
      <c r="Q41" s="1" t="s">
        <v>1733</v>
      </c>
      <c r="R41" s="1" t="s">
        <v>1425</v>
      </c>
      <c r="S41" s="1" t="s">
        <v>941</v>
      </c>
      <c r="T41" s="1" t="s">
        <v>1734</v>
      </c>
    </row>
    <row r="42" spans="1:20" ht="52" customHeight="1">
      <c r="A42" s="1" t="s">
        <v>1735</v>
      </c>
      <c r="B42" s="1" t="s">
        <v>816</v>
      </c>
      <c r="C42" s="1" t="s">
        <v>1705</v>
      </c>
      <c r="D42" s="1" t="s">
        <v>772</v>
      </c>
      <c r="E42" s="1" t="s">
        <v>1728</v>
      </c>
      <c r="F42" s="1" t="s">
        <v>1729</v>
      </c>
      <c r="G42" s="1" t="s">
        <v>1730</v>
      </c>
      <c r="H42" s="1" t="s">
        <v>1731</v>
      </c>
      <c r="I42" s="1" t="s">
        <v>632</v>
      </c>
      <c r="J42" s="1" t="s">
        <v>1710</v>
      </c>
      <c r="K42" s="1" t="s">
        <v>807</v>
      </c>
      <c r="L42" s="1" t="s">
        <v>1736</v>
      </c>
      <c r="M42" s="4" t="b">
        <v>0</v>
      </c>
      <c r="N42" s="1" t="s">
        <v>910</v>
      </c>
      <c r="O42" s="1" t="s">
        <v>1632</v>
      </c>
      <c r="P42" s="1" t="s">
        <v>904</v>
      </c>
      <c r="Q42" s="1" t="s">
        <v>1737</v>
      </c>
      <c r="R42" s="1" t="s">
        <v>1425</v>
      </c>
      <c r="S42" s="1" t="s">
        <v>941</v>
      </c>
      <c r="T42" s="1" t="s">
        <v>1738</v>
      </c>
    </row>
    <row r="43" spans="1:20" ht="52" customHeight="1">
      <c r="A43" s="1" t="s">
        <v>1739</v>
      </c>
      <c r="B43" s="1" t="s">
        <v>380</v>
      </c>
      <c r="C43" s="1" t="s">
        <v>1636</v>
      </c>
      <c r="D43" s="1" t="s">
        <v>144</v>
      </c>
      <c r="E43" s="1" t="s">
        <v>1627</v>
      </c>
      <c r="F43" s="1" t="s">
        <v>1628</v>
      </c>
      <c r="G43" s="1" t="s">
        <v>1629</v>
      </c>
      <c r="H43" s="1" t="s">
        <v>1630</v>
      </c>
      <c r="I43" s="1" t="s">
        <v>107</v>
      </c>
      <c r="J43" s="1" t="s">
        <v>1631</v>
      </c>
      <c r="K43" s="1" t="s">
        <v>159</v>
      </c>
      <c r="L43" s="1" t="s">
        <v>728</v>
      </c>
      <c r="M43" s="4" t="b">
        <v>0</v>
      </c>
      <c r="N43" s="1" t="s">
        <v>910</v>
      </c>
      <c r="O43" s="1" t="s">
        <v>1632</v>
      </c>
      <c r="P43" s="1" t="s">
        <v>904</v>
      </c>
      <c r="Q43" s="1" t="s">
        <v>1740</v>
      </c>
      <c r="R43" s="1" t="s">
        <v>1425</v>
      </c>
      <c r="S43" s="1" t="s">
        <v>941</v>
      </c>
      <c r="T43" s="1" t="s">
        <v>1741</v>
      </c>
    </row>
    <row r="44" spans="1:20" ht="52" customHeight="1">
      <c r="A44" s="1" t="s">
        <v>1742</v>
      </c>
      <c r="B44" s="1" t="s">
        <v>380</v>
      </c>
      <c r="C44" s="1" t="s">
        <v>1638</v>
      </c>
      <c r="D44" s="1" t="s">
        <v>144</v>
      </c>
      <c r="E44" s="1" t="s">
        <v>1627</v>
      </c>
      <c r="F44" s="1" t="s">
        <v>1628</v>
      </c>
      <c r="G44" s="1" t="s">
        <v>1629</v>
      </c>
      <c r="H44" s="1" t="s">
        <v>1630</v>
      </c>
      <c r="I44" s="1" t="s">
        <v>107</v>
      </c>
      <c r="J44" s="1" t="s">
        <v>1631</v>
      </c>
      <c r="K44" s="1" t="s">
        <v>159</v>
      </c>
      <c r="L44" s="1" t="s">
        <v>1639</v>
      </c>
      <c r="M44" s="4" t="b">
        <v>0</v>
      </c>
      <c r="N44" s="1" t="s">
        <v>910</v>
      </c>
      <c r="O44" s="1" t="s">
        <v>1632</v>
      </c>
      <c r="P44" s="1" t="s">
        <v>904</v>
      </c>
      <c r="Q44" s="1" t="s">
        <v>1740</v>
      </c>
      <c r="R44" s="1" t="s">
        <v>1425</v>
      </c>
      <c r="S44" s="1" t="s">
        <v>941</v>
      </c>
      <c r="T44" s="1" t="s">
        <v>1741</v>
      </c>
    </row>
    <row r="45" spans="1:20" ht="52" customHeight="1">
      <c r="A45" s="1" t="s">
        <v>1743</v>
      </c>
      <c r="B45" s="1" t="s">
        <v>337</v>
      </c>
      <c r="C45" s="1" t="s">
        <v>1636</v>
      </c>
      <c r="D45" s="1" t="s">
        <v>290</v>
      </c>
      <c r="E45" s="1" t="s">
        <v>1672</v>
      </c>
      <c r="F45" s="1" t="s">
        <v>1673</v>
      </c>
      <c r="G45" s="1" t="s">
        <v>1674</v>
      </c>
      <c r="H45" s="1" t="s">
        <v>1675</v>
      </c>
      <c r="I45" s="1" t="s">
        <v>107</v>
      </c>
      <c r="J45" s="1" t="s">
        <v>1631</v>
      </c>
      <c r="K45" s="1" t="s">
        <v>284</v>
      </c>
      <c r="L45" s="1" t="s">
        <v>728</v>
      </c>
      <c r="M45" s="4" t="b">
        <v>0</v>
      </c>
      <c r="N45" s="1" t="s">
        <v>910</v>
      </c>
      <c r="O45" s="1" t="s">
        <v>1632</v>
      </c>
      <c r="P45" s="1" t="s">
        <v>904</v>
      </c>
      <c r="Q45" s="1" t="s">
        <v>1744</v>
      </c>
      <c r="R45" s="1" t="s">
        <v>1425</v>
      </c>
      <c r="S45" s="1" t="s">
        <v>941</v>
      </c>
      <c r="T45" s="1" t="s">
        <v>1745</v>
      </c>
    </row>
    <row r="46" spans="1:20" ht="52" customHeight="1">
      <c r="A46" s="1" t="s">
        <v>1746</v>
      </c>
      <c r="B46" s="1" t="s">
        <v>337</v>
      </c>
      <c r="C46" s="1" t="s">
        <v>1638</v>
      </c>
      <c r="D46" s="1" t="s">
        <v>290</v>
      </c>
      <c r="E46" s="1" t="s">
        <v>1672</v>
      </c>
      <c r="F46" s="1" t="s">
        <v>1673</v>
      </c>
      <c r="G46" s="1" t="s">
        <v>1674</v>
      </c>
      <c r="H46" s="1" t="s">
        <v>1675</v>
      </c>
      <c r="I46" s="1" t="s">
        <v>107</v>
      </c>
      <c r="J46" s="1" t="s">
        <v>1631</v>
      </c>
      <c r="K46" s="1" t="s">
        <v>284</v>
      </c>
      <c r="L46" s="1" t="s">
        <v>1639</v>
      </c>
      <c r="M46" s="4" t="b">
        <v>0</v>
      </c>
      <c r="N46" s="1" t="s">
        <v>910</v>
      </c>
      <c r="O46" s="1" t="s">
        <v>1632</v>
      </c>
      <c r="P46" s="1" t="s">
        <v>904</v>
      </c>
      <c r="Q46" s="1" t="s">
        <v>1744</v>
      </c>
      <c r="R46" s="1" t="s">
        <v>1425</v>
      </c>
      <c r="S46" s="1" t="s">
        <v>941</v>
      </c>
      <c r="T46" s="1" t="s">
        <v>1745</v>
      </c>
    </row>
  </sheetData>
  <phoneticPr fontId="9" type="noConversion"/>
  <conditionalFormatting sqref="G2:G44">
    <cfRule type="expression" dxfId="3" priority="1">
      <formula>G2=TRUE</formula>
    </cfRule>
  </conditionalFormatting>
  <conditionalFormatting sqref="I2:I44">
    <cfRule type="expression" dxfId="2" priority="3">
      <formula>I2=TRUE</formula>
    </cfRule>
  </conditionalFormatting>
  <conditionalFormatting sqref="M2:M46">
    <cfRule type="expression" dxfId="1" priority="4">
      <formula>M2=TRUE</formula>
    </cfRule>
  </conditionalFormatting>
  <dataValidations count="3">
    <dataValidation type="list" sqref="O2:O44 S2:S46" xr:uid="{00000000-0002-0000-0500-000000000000}">
      <formula1>"Active,Deprecated"</formula1>
    </dataValidation>
    <dataValidation type="list" sqref="P2:P46" xr:uid="{00000000-0002-0000-0500-000001000000}">
      <formula1>"normalization"</formula1>
    </dataValidation>
    <dataValidation type="list" sqref="R2:R46" xr:uid="{00000000-0002-0000-0500-000002000000}">
      <formula1>"include_in_scope1_co2e,exclude_from_scope1_co2e"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6"/>
  <sheetViews>
    <sheetView workbookViewId="0"/>
  </sheetViews>
  <sheetFormatPr baseColWidth="10" defaultColWidth="8.83203125" defaultRowHeight="14"/>
  <cols>
    <col min="1" max="1" width="20" customWidth="1"/>
    <col min="2" max="2" width="52" customWidth="1"/>
    <col min="3" max="3" width="44" customWidth="1"/>
    <col min="4" max="4" width="88" customWidth="1"/>
    <col min="5" max="5" width="12" customWidth="1"/>
    <col min="6" max="6" width="40" customWidth="1"/>
    <col min="7" max="7" width="72" customWidth="1"/>
    <col min="8" max="8" width="14" customWidth="1"/>
  </cols>
  <sheetData>
    <row r="1" spans="1:8" ht="30.75" customHeight="1">
      <c r="A1" s="6" t="s">
        <v>1747</v>
      </c>
      <c r="B1" s="6" t="s">
        <v>1748</v>
      </c>
      <c r="C1" s="6" t="s">
        <v>1749</v>
      </c>
      <c r="D1" s="6" t="s">
        <v>1750</v>
      </c>
      <c r="E1" s="6" t="s">
        <v>1751</v>
      </c>
      <c r="F1" s="6" t="s">
        <v>1752</v>
      </c>
      <c r="G1" s="6" t="s">
        <v>1753</v>
      </c>
      <c r="H1" s="6" t="s">
        <v>931</v>
      </c>
    </row>
    <row r="2" spans="1:8" ht="53.5" customHeight="1">
      <c r="A2" s="1" t="s">
        <v>1754</v>
      </c>
      <c r="B2" s="1" t="s">
        <v>1755</v>
      </c>
      <c r="C2" s="1" t="s">
        <v>1756</v>
      </c>
      <c r="D2" s="1" t="s">
        <v>1757</v>
      </c>
      <c r="E2" s="1" t="s">
        <v>1758</v>
      </c>
      <c r="F2" s="1" t="s">
        <v>1759</v>
      </c>
      <c r="G2" s="1" t="s">
        <v>1760</v>
      </c>
      <c r="H2" s="1" t="s">
        <v>941</v>
      </c>
    </row>
    <row r="3" spans="1:8" ht="53.5" customHeight="1">
      <c r="A3" s="1" t="s">
        <v>1761</v>
      </c>
      <c r="B3" s="1" t="s">
        <v>1762</v>
      </c>
      <c r="C3" s="1" t="s">
        <v>1756</v>
      </c>
      <c r="D3" s="1" t="s">
        <v>1763</v>
      </c>
      <c r="E3" s="1" t="s">
        <v>1758</v>
      </c>
      <c r="F3" s="1" t="s">
        <v>1764</v>
      </c>
      <c r="G3" s="1" t="s">
        <v>1765</v>
      </c>
      <c r="H3" s="1" t="s">
        <v>941</v>
      </c>
    </row>
    <row r="4" spans="1:8" ht="53.5" customHeight="1">
      <c r="A4" s="1" t="s">
        <v>1766</v>
      </c>
      <c r="B4" s="1" t="s">
        <v>1767</v>
      </c>
      <c r="C4" s="1" t="s">
        <v>1768</v>
      </c>
      <c r="D4" s="1" t="s">
        <v>1769</v>
      </c>
      <c r="E4" s="1" t="s">
        <v>1758</v>
      </c>
      <c r="F4" s="1" t="s">
        <v>1770</v>
      </c>
      <c r="G4" s="1" t="s">
        <v>1771</v>
      </c>
      <c r="H4" s="1" t="s">
        <v>941</v>
      </c>
    </row>
    <row r="5" spans="1:8" ht="53.5" customHeight="1">
      <c r="A5" s="1" t="s">
        <v>1772</v>
      </c>
      <c r="B5" s="1" t="s">
        <v>1773</v>
      </c>
      <c r="C5" s="1" t="s">
        <v>1774</v>
      </c>
      <c r="D5" s="1" t="s">
        <v>1775</v>
      </c>
      <c r="E5" s="1" t="s">
        <v>1758</v>
      </c>
      <c r="F5" s="1" t="s">
        <v>1776</v>
      </c>
      <c r="G5" s="1" t="s">
        <v>1777</v>
      </c>
      <c r="H5" s="1" t="s">
        <v>941</v>
      </c>
    </row>
    <row r="6" spans="1:8" ht="53.5" customHeight="1">
      <c r="A6" s="1" t="s">
        <v>1778</v>
      </c>
      <c r="B6" s="1" t="s">
        <v>1779</v>
      </c>
      <c r="C6" s="1" t="s">
        <v>1780</v>
      </c>
      <c r="D6" s="1" t="s">
        <v>1781</v>
      </c>
      <c r="E6" s="1" t="s">
        <v>1758</v>
      </c>
      <c r="F6" s="1" t="s">
        <v>1782</v>
      </c>
      <c r="G6" s="1" t="s">
        <v>1783</v>
      </c>
      <c r="H6" s="1" t="s">
        <v>941</v>
      </c>
    </row>
    <row r="7" spans="1:8" ht="53.5" customHeight="1">
      <c r="A7" s="1" t="s">
        <v>1784</v>
      </c>
      <c r="B7" s="1" t="s">
        <v>1785</v>
      </c>
      <c r="C7" s="1" t="s">
        <v>1786</v>
      </c>
      <c r="D7" s="1" t="s">
        <v>1787</v>
      </c>
      <c r="E7" s="1" t="s">
        <v>1758</v>
      </c>
      <c r="F7" s="1" t="s">
        <v>1788</v>
      </c>
      <c r="G7" s="1" t="s">
        <v>1789</v>
      </c>
      <c r="H7" s="1" t="s">
        <v>941</v>
      </c>
    </row>
    <row r="8" spans="1:8" ht="53.5" customHeight="1">
      <c r="A8" s="1" t="s">
        <v>1790</v>
      </c>
      <c r="B8" s="1" t="s">
        <v>1791</v>
      </c>
      <c r="C8" s="1" t="s">
        <v>1792</v>
      </c>
      <c r="D8" s="1" t="s">
        <v>1793</v>
      </c>
      <c r="E8" s="1" t="s">
        <v>1758</v>
      </c>
      <c r="F8" s="1" t="s">
        <v>1794</v>
      </c>
      <c r="G8" s="1" t="s">
        <v>1795</v>
      </c>
      <c r="H8" s="1" t="s">
        <v>941</v>
      </c>
    </row>
    <row r="9" spans="1:8" ht="53.5" customHeight="1">
      <c r="A9" s="1" t="s">
        <v>1796</v>
      </c>
      <c r="B9" s="1" t="s">
        <v>910</v>
      </c>
      <c r="C9" s="1" t="s">
        <v>1797</v>
      </c>
      <c r="D9" s="1" t="s">
        <v>1798</v>
      </c>
      <c r="E9" s="1" t="s">
        <v>1758</v>
      </c>
      <c r="F9" s="1" t="s">
        <v>1799</v>
      </c>
      <c r="G9" s="1" t="s">
        <v>1800</v>
      </c>
      <c r="H9" s="1" t="s">
        <v>941</v>
      </c>
    </row>
    <row r="10" spans="1:8" ht="53.5" customHeight="1">
      <c r="A10" s="1" t="s">
        <v>1801</v>
      </c>
      <c r="B10" s="1" t="s">
        <v>1802</v>
      </c>
      <c r="C10" s="1" t="s">
        <v>1797</v>
      </c>
      <c r="D10" s="1" t="s">
        <v>1803</v>
      </c>
      <c r="E10" s="1" t="s">
        <v>1758</v>
      </c>
      <c r="F10" s="1" t="s">
        <v>1804</v>
      </c>
      <c r="G10" s="1" t="s">
        <v>1805</v>
      </c>
      <c r="H10" s="1" t="s">
        <v>941</v>
      </c>
    </row>
    <row r="11" spans="1:8" ht="53.5" customHeight="1">
      <c r="A11" s="1" t="s">
        <v>1806</v>
      </c>
      <c r="B11" s="1" t="s">
        <v>1807</v>
      </c>
      <c r="C11" s="1" t="s">
        <v>1808</v>
      </c>
      <c r="D11" s="1" t="s">
        <v>1809</v>
      </c>
      <c r="E11" s="1" t="s">
        <v>1758</v>
      </c>
      <c r="F11" s="1" t="s">
        <v>1810</v>
      </c>
      <c r="G11" s="1" t="s">
        <v>1811</v>
      </c>
      <c r="H11" s="1" t="s">
        <v>941</v>
      </c>
    </row>
    <row r="12" spans="1:8" ht="53.5" customHeight="1">
      <c r="A12" s="1" t="s">
        <v>1812</v>
      </c>
      <c r="B12" s="1" t="s">
        <v>46</v>
      </c>
      <c r="C12" s="1" t="s">
        <v>1610</v>
      </c>
      <c r="D12" s="1" t="s">
        <v>1813</v>
      </c>
      <c r="E12" s="1" t="s">
        <v>1758</v>
      </c>
      <c r="F12" s="1" t="s">
        <v>1814</v>
      </c>
      <c r="G12" s="1" t="s">
        <v>1815</v>
      </c>
      <c r="H12" s="1" t="s">
        <v>941</v>
      </c>
    </row>
    <row r="13" spans="1:8" ht="53.5" customHeight="1">
      <c r="A13" s="1" t="s">
        <v>1816</v>
      </c>
      <c r="B13" s="1" t="s">
        <v>1817</v>
      </c>
      <c r="C13" s="1" t="s">
        <v>1818</v>
      </c>
      <c r="D13" s="1" t="s">
        <v>1819</v>
      </c>
      <c r="E13" s="1" t="s">
        <v>1758</v>
      </c>
      <c r="F13" s="1" t="s">
        <v>1820</v>
      </c>
      <c r="G13" s="1" t="s">
        <v>1821</v>
      </c>
      <c r="H13" s="1" t="s">
        <v>941</v>
      </c>
    </row>
    <row r="14" spans="1:8" ht="53.5" customHeight="1">
      <c r="A14" s="1" t="s">
        <v>1822</v>
      </c>
      <c r="B14" s="1" t="s">
        <v>1823</v>
      </c>
      <c r="C14" s="1" t="s">
        <v>1756</v>
      </c>
      <c r="D14" s="1" t="s">
        <v>1824</v>
      </c>
      <c r="E14" s="1" t="s">
        <v>1758</v>
      </c>
      <c r="F14" s="1" t="s">
        <v>1825</v>
      </c>
      <c r="G14" s="1" t="s">
        <v>1826</v>
      </c>
      <c r="H14" s="1" t="s">
        <v>941</v>
      </c>
    </row>
    <row r="15" spans="1:8" ht="53.5" customHeight="1">
      <c r="A15" s="1" t="s">
        <v>1827</v>
      </c>
      <c r="B15" s="1" t="s">
        <v>1828</v>
      </c>
      <c r="C15" s="1" t="s">
        <v>1829</v>
      </c>
      <c r="D15" s="1" t="s">
        <v>1830</v>
      </c>
      <c r="E15" s="1" t="s">
        <v>1758</v>
      </c>
      <c r="F15" s="1" t="s">
        <v>1831</v>
      </c>
      <c r="G15" s="1" t="s">
        <v>1832</v>
      </c>
      <c r="H15" s="1" t="s">
        <v>941</v>
      </c>
    </row>
    <row r="16" spans="1:8" ht="53.5" customHeight="1">
      <c r="A16" s="1" t="s">
        <v>1833</v>
      </c>
      <c r="B16" s="1" t="s">
        <v>1834</v>
      </c>
      <c r="C16" s="1" t="s">
        <v>1797</v>
      </c>
      <c r="D16" s="1" t="s">
        <v>1835</v>
      </c>
      <c r="E16" s="1" t="s">
        <v>1758</v>
      </c>
      <c r="F16" s="1" t="s">
        <v>1836</v>
      </c>
      <c r="G16" s="1" t="s">
        <v>1837</v>
      </c>
      <c r="H16" s="1" t="s">
        <v>941</v>
      </c>
    </row>
  </sheetData>
  <phoneticPr fontId="9" type="noConversion"/>
  <conditionalFormatting sqref="E2:E6">
    <cfRule type="expression" dxfId="0" priority="1">
      <formula>$E2="Error"</formula>
    </cfRule>
  </conditionalFormatting>
  <dataValidations count="2">
    <dataValidation type="list" sqref="E2:E11" xr:uid="{00000000-0002-0000-0600-000000000000}">
      <formula1>"Error,Warning"</formula1>
    </dataValidation>
    <dataValidation type="list" sqref="H2:H11" xr:uid="{00000000-0002-0000-0600-000001000000}">
      <formula1>"Active,Deprecated"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80"/>
  <sheetViews>
    <sheetView topLeftCell="A20" workbookViewId="0">
      <selection sqref="A1:H2"/>
    </sheetView>
  </sheetViews>
  <sheetFormatPr baseColWidth="10" defaultColWidth="8.83203125" defaultRowHeight="14"/>
  <cols>
    <col min="1" max="2" width="32" customWidth="1"/>
    <col min="3" max="3" width="72" customWidth="1"/>
    <col min="4" max="4" width="52" customWidth="1"/>
    <col min="5" max="5" width="4" customWidth="1"/>
    <col min="6" max="6" width="40" customWidth="1"/>
    <col min="7" max="7" width="23" customWidth="1"/>
    <col min="8" max="8" width="32" customWidth="1"/>
  </cols>
  <sheetData>
    <row r="1" spans="1:8">
      <c r="A1" s="12" t="s">
        <v>1838</v>
      </c>
      <c r="B1" s="12"/>
      <c r="C1" s="12"/>
      <c r="D1" s="12"/>
      <c r="E1" s="12"/>
      <c r="F1" s="12"/>
      <c r="G1" s="12"/>
      <c r="H1" s="12"/>
    </row>
    <row r="2" spans="1:8">
      <c r="A2" s="12"/>
      <c r="B2" s="12"/>
      <c r="C2" s="12"/>
      <c r="D2" s="12"/>
      <c r="E2" s="12"/>
      <c r="F2" s="12"/>
      <c r="G2" s="12"/>
      <c r="H2" s="12"/>
    </row>
    <row r="3" spans="1:8">
      <c r="A3" s="7"/>
      <c r="B3" s="7"/>
      <c r="C3" s="7"/>
      <c r="D3" s="7"/>
      <c r="E3" s="7"/>
      <c r="F3" s="7"/>
      <c r="G3" s="7"/>
      <c r="H3" s="7"/>
    </row>
    <row r="4" spans="1:8" ht="15">
      <c r="A4" s="11" t="s">
        <v>1839</v>
      </c>
      <c r="B4" s="11"/>
      <c r="C4" s="11"/>
      <c r="D4" s="11"/>
      <c r="E4" s="11"/>
      <c r="F4" s="11"/>
      <c r="G4" s="11"/>
      <c r="H4" s="11"/>
    </row>
    <row r="5" spans="1:8">
      <c r="A5" s="13" t="s">
        <v>1840</v>
      </c>
      <c r="B5" s="13"/>
      <c r="C5" s="13"/>
      <c r="D5" s="13"/>
      <c r="E5" s="13"/>
      <c r="F5" s="13"/>
      <c r="G5" s="13"/>
      <c r="H5" s="13"/>
    </row>
    <row r="6" spans="1:8">
      <c r="A6" s="13"/>
      <c r="B6" s="13"/>
      <c r="C6" s="13"/>
      <c r="D6" s="13"/>
      <c r="E6" s="13"/>
      <c r="F6" s="13"/>
      <c r="G6" s="13"/>
      <c r="H6" s="13"/>
    </row>
    <row r="7" spans="1:8">
      <c r="A7" s="13"/>
      <c r="B7" s="13"/>
      <c r="C7" s="13"/>
      <c r="D7" s="13"/>
      <c r="E7" s="13"/>
      <c r="F7" s="13"/>
      <c r="G7" s="13"/>
      <c r="H7" s="13"/>
    </row>
    <row r="8" spans="1:8">
      <c r="A8" s="7"/>
      <c r="B8" s="7"/>
      <c r="C8" s="7"/>
      <c r="D8" s="7"/>
      <c r="E8" s="7"/>
      <c r="F8" s="7"/>
      <c r="G8" s="7"/>
      <c r="H8" s="7"/>
    </row>
    <row r="9" spans="1:8" ht="15">
      <c r="A9" s="11" t="s">
        <v>1841</v>
      </c>
      <c r="B9" s="11"/>
      <c r="C9" s="11"/>
      <c r="D9" s="11"/>
      <c r="E9" s="9"/>
      <c r="F9" s="11" t="s">
        <v>1842</v>
      </c>
      <c r="G9" s="11"/>
      <c r="H9" s="11"/>
    </row>
    <row r="10" spans="1:8" ht="38.75" customHeight="1">
      <c r="A10" s="6" t="s">
        <v>1843</v>
      </c>
      <c r="B10" s="6" t="s">
        <v>1844</v>
      </c>
      <c r="C10" s="6" t="s">
        <v>1845</v>
      </c>
      <c r="D10" s="6" t="s">
        <v>1846</v>
      </c>
      <c r="E10" s="7"/>
      <c r="F10" s="6" t="s">
        <v>1847</v>
      </c>
      <c r="G10" s="6" t="s">
        <v>1848</v>
      </c>
      <c r="H10" s="6" t="s">
        <v>1849</v>
      </c>
    </row>
    <row r="11" spans="1:8" ht="38.75" customHeight="1">
      <c r="A11" s="7" t="s">
        <v>1850</v>
      </c>
      <c r="B11" s="7" t="s">
        <v>1851</v>
      </c>
      <c r="C11" s="7" t="s">
        <v>1852</v>
      </c>
      <c r="D11" s="7" t="s">
        <v>1853</v>
      </c>
      <c r="E11" s="7"/>
      <c r="F11" s="7" t="s">
        <v>1854</v>
      </c>
      <c r="G11" s="7">
        <f>COUNTA('1_Schema'!$A$2:$A$140)</f>
        <v>139</v>
      </c>
      <c r="H11" s="7" t="s">
        <v>1855</v>
      </c>
    </row>
    <row r="12" spans="1:8" ht="38.75" customHeight="1">
      <c r="A12" s="7" t="s">
        <v>1856</v>
      </c>
      <c r="B12" s="7" t="s">
        <v>1857</v>
      </c>
      <c r="C12" s="7" t="s">
        <v>1858</v>
      </c>
      <c r="D12" s="7" t="s">
        <v>1859</v>
      </c>
      <c r="E12" s="7"/>
      <c r="F12" s="7" t="s">
        <v>1860</v>
      </c>
      <c r="G12" s="7">
        <f>COUNTA('5_Output_Mapping'!$A$2:$A$46)</f>
        <v>45</v>
      </c>
      <c r="H12" s="7" t="s">
        <v>1861</v>
      </c>
    </row>
    <row r="13" spans="1:8" ht="38.75" customHeight="1">
      <c r="A13" s="7" t="s">
        <v>1862</v>
      </c>
      <c r="B13" s="7" t="s">
        <v>1857</v>
      </c>
      <c r="C13" s="7" t="s">
        <v>1863</v>
      </c>
      <c r="D13" s="7" t="s">
        <v>1864</v>
      </c>
      <c r="E13" s="7"/>
      <c r="F13" s="7" t="s">
        <v>1865</v>
      </c>
      <c r="G13" s="7">
        <f>COUNTA('2_Cross_Layer_Edges'!$A$2:$A$79)</f>
        <v>78</v>
      </c>
      <c r="H13" s="7" t="s">
        <v>1866</v>
      </c>
    </row>
    <row r="14" spans="1:8" ht="38.75" customHeight="1">
      <c r="A14" s="7" t="s">
        <v>1867</v>
      </c>
      <c r="B14" s="7" t="s">
        <v>1857</v>
      </c>
      <c r="C14" s="7" t="s">
        <v>1868</v>
      </c>
      <c r="D14" s="7" t="s">
        <v>1869</v>
      </c>
      <c r="E14" s="7"/>
      <c r="F14" s="7" t="s">
        <v>1870</v>
      </c>
      <c r="G14" s="7">
        <f>COUNTA('6_Interface_Invariants'!$A$2:$A$16)</f>
        <v>15</v>
      </c>
      <c r="H14" s="7" t="s">
        <v>1871</v>
      </c>
    </row>
    <row r="15" spans="1:8" ht="38.75" customHeight="1">
      <c r="A15" s="7" t="s">
        <v>1872</v>
      </c>
      <c r="B15" s="7" t="s">
        <v>1873</v>
      </c>
      <c r="C15" s="7" t="s">
        <v>1874</v>
      </c>
      <c r="D15" s="7" t="s">
        <v>1875</v>
      </c>
      <c r="E15" s="7"/>
      <c r="F15" s="7" t="s">
        <v>1876</v>
      </c>
      <c r="G15" s="7">
        <f>COUNTIFS('1_Schema'!$N$2:$N$140,"normative",'1_Schema'!$Q$2:$Q$140,"")</f>
        <v>0</v>
      </c>
      <c r="H15" s="7" t="s">
        <v>1877</v>
      </c>
    </row>
    <row r="16" spans="1:8" ht="38.75" customHeight="1">
      <c r="A16" s="7" t="s">
        <v>1878</v>
      </c>
      <c r="B16" s="7" t="s">
        <v>1879</v>
      </c>
      <c r="C16" s="7" t="s">
        <v>1880</v>
      </c>
      <c r="D16" s="7" t="s">
        <v>1881</v>
      </c>
      <c r="E16" s="7"/>
      <c r="F16" s="7" t="s">
        <v>1882</v>
      </c>
      <c r="G16" s="7">
        <f>COUNTIFS('1_Schema'!$N$2:$N$140,"evidence-derived",'1_Schema'!$Q$2:$Q$140,"&lt;&gt;")</f>
        <v>0</v>
      </c>
      <c r="H16" s="7" t="s">
        <v>1877</v>
      </c>
    </row>
    <row r="17" spans="1:8">
      <c r="A17" s="7"/>
      <c r="B17" s="7"/>
      <c r="C17" s="7"/>
      <c r="D17" s="7"/>
      <c r="E17" s="7"/>
      <c r="F17" s="7" t="s">
        <v>1883</v>
      </c>
      <c r="G17" s="7">
        <f>SUMPRODUCT(--(COUNTIF('1_Schema'!$A$2:$A$140,'1_Schema'!$A$2:$A$140)&gt;1))</f>
        <v>0</v>
      </c>
      <c r="H17" s="7" t="s">
        <v>1877</v>
      </c>
    </row>
    <row r="18" spans="1:8" ht="15">
      <c r="A18" s="11" t="s">
        <v>1884</v>
      </c>
      <c r="B18" s="11"/>
      <c r="C18" s="11"/>
      <c r="D18" s="11"/>
      <c r="E18" s="9"/>
      <c r="F18" s="9" t="s">
        <v>1885</v>
      </c>
      <c r="G18" s="9">
        <f>0</f>
        <v>0</v>
      </c>
      <c r="H18" s="9" t="s">
        <v>1877</v>
      </c>
    </row>
    <row r="19" spans="1:8" ht="45.5" customHeight="1">
      <c r="A19" s="6" t="s">
        <v>59</v>
      </c>
      <c r="B19" s="6" t="s">
        <v>60</v>
      </c>
      <c r="C19" s="6" t="s">
        <v>1886</v>
      </c>
      <c r="D19" s="6" t="s">
        <v>1887</v>
      </c>
      <c r="E19" s="7"/>
      <c r="F19" s="7" t="s">
        <v>1888</v>
      </c>
      <c r="G19" s="7">
        <f>0</f>
        <v>0</v>
      </c>
      <c r="H19" s="7" t="s">
        <v>1877</v>
      </c>
    </row>
    <row r="20" spans="1:8" ht="45.5" customHeight="1">
      <c r="A20" s="7" t="s">
        <v>63</v>
      </c>
      <c r="B20" s="7" t="s">
        <v>1889</v>
      </c>
      <c r="C20" s="7" t="s">
        <v>1890</v>
      </c>
      <c r="D20" s="7" t="s">
        <v>1891</v>
      </c>
      <c r="E20" s="7"/>
      <c r="F20" s="9" t="s">
        <v>1892</v>
      </c>
      <c r="G20" s="9">
        <f>0</f>
        <v>0</v>
      </c>
      <c r="H20" s="9" t="s">
        <v>1877</v>
      </c>
    </row>
    <row r="21" spans="1:8" ht="45.5" customHeight="1">
      <c r="A21" s="7" t="s">
        <v>1893</v>
      </c>
      <c r="B21" s="7" t="s">
        <v>1894</v>
      </c>
      <c r="C21" s="7" t="s">
        <v>1895</v>
      </c>
      <c r="D21" s="7" t="s">
        <v>1896</v>
      </c>
      <c r="E21" s="7"/>
      <c r="F21" s="8" t="s">
        <v>1897</v>
      </c>
      <c r="G21" s="8">
        <f>COUNTIF('2_Cross_Layer_Edges'!$L$2:$L$79,"Pending_GEN_Update")</f>
        <v>5</v>
      </c>
      <c r="H21" s="8" t="s">
        <v>1898</v>
      </c>
    </row>
    <row r="22" spans="1:8" ht="45.5" customHeight="1">
      <c r="A22" s="7" t="s">
        <v>71</v>
      </c>
      <c r="B22" s="7" t="s">
        <v>1899</v>
      </c>
      <c r="C22" s="7" t="s">
        <v>1900</v>
      </c>
      <c r="D22" s="7" t="s">
        <v>1901</v>
      </c>
      <c r="E22" s="7"/>
      <c r="F22" s="7" t="s">
        <v>1902</v>
      </c>
      <c r="G22" s="7">
        <f>COUNTIF('3_Flags'!$I$2:$I$50,"Open")+COUNTIF('3_Flags'!$I$2:$I$50,"Deferred")</f>
        <v>9</v>
      </c>
      <c r="H22" s="7" t="s">
        <v>1903</v>
      </c>
    </row>
    <row r="23" spans="1:8" ht="45.5" customHeight="1">
      <c r="A23" s="7" t="s">
        <v>1904</v>
      </c>
      <c r="B23" s="7" t="s">
        <v>1905</v>
      </c>
      <c r="C23" s="7" t="s">
        <v>1906</v>
      </c>
      <c r="D23" s="7" t="s">
        <v>1907</v>
      </c>
      <c r="E23" s="7"/>
      <c r="F23" s="7"/>
      <c r="G23" s="7"/>
      <c r="H23" s="7"/>
    </row>
    <row r="24" spans="1:8" ht="15">
      <c r="A24" s="7"/>
      <c r="B24" s="7"/>
      <c r="C24" s="7"/>
      <c r="D24" s="7"/>
      <c r="E24" s="7"/>
      <c r="F24" s="11" t="s">
        <v>1908</v>
      </c>
      <c r="G24" s="11"/>
      <c r="H24" s="11"/>
    </row>
    <row r="25" spans="1:8">
      <c r="A25" s="7"/>
      <c r="B25" s="7"/>
      <c r="C25" s="7"/>
      <c r="D25" s="7"/>
      <c r="E25" s="7"/>
      <c r="F25" s="6" t="s">
        <v>1909</v>
      </c>
      <c r="G25" s="6" t="s">
        <v>1910</v>
      </c>
      <c r="H25" s="6" t="s">
        <v>1383</v>
      </c>
    </row>
    <row r="26" spans="1:8" ht="26">
      <c r="A26" s="7"/>
      <c r="B26" s="7"/>
      <c r="C26" s="7"/>
      <c r="D26" s="7"/>
      <c r="E26" s="7"/>
      <c r="F26" s="7" t="s">
        <v>1911</v>
      </c>
      <c r="G26" s="7" t="s">
        <v>1912</v>
      </c>
      <c r="H26" s="7" t="s">
        <v>1913</v>
      </c>
    </row>
    <row r="27" spans="1:8" ht="26">
      <c r="A27" s="7"/>
      <c r="B27" s="7"/>
      <c r="C27" s="7"/>
      <c r="D27" s="7"/>
      <c r="E27" s="7"/>
      <c r="F27" s="7" t="s">
        <v>1914</v>
      </c>
      <c r="G27" s="7" t="s">
        <v>1915</v>
      </c>
      <c r="H27" s="7" t="s">
        <v>1916</v>
      </c>
    </row>
    <row r="28" spans="1:8">
      <c r="A28" s="7"/>
      <c r="B28" s="7"/>
      <c r="C28" s="7"/>
      <c r="D28" s="7"/>
      <c r="E28" s="7"/>
      <c r="F28" s="7" t="s">
        <v>1917</v>
      </c>
      <c r="G28" s="7" t="s">
        <v>1918</v>
      </c>
      <c r="H28" s="7" t="s">
        <v>1919</v>
      </c>
    </row>
    <row r="29" spans="1:8">
      <c r="A29" s="7"/>
      <c r="B29" s="7"/>
      <c r="C29" s="7"/>
      <c r="D29" s="7"/>
      <c r="E29" s="7"/>
      <c r="F29" s="7"/>
      <c r="G29" s="7"/>
      <c r="H29" s="7"/>
    </row>
    <row r="30" spans="1:8">
      <c r="A30" s="7"/>
      <c r="B30" s="7"/>
      <c r="C30" s="7"/>
      <c r="D30" s="7"/>
      <c r="E30" s="7"/>
      <c r="F30" s="7"/>
      <c r="G30" s="7"/>
      <c r="H30" s="7"/>
    </row>
    <row r="31" spans="1:8">
      <c r="A31" s="7"/>
      <c r="B31" s="7"/>
      <c r="C31" s="7"/>
      <c r="D31" s="7"/>
      <c r="E31" s="7"/>
      <c r="F31" s="7"/>
      <c r="G31" s="7"/>
      <c r="H31" s="7"/>
    </row>
    <row r="32" spans="1:8">
      <c r="A32" s="7"/>
      <c r="B32" s="7"/>
      <c r="C32" s="7"/>
      <c r="D32" s="7"/>
      <c r="E32" s="7"/>
      <c r="F32" s="7"/>
      <c r="G32" s="7"/>
      <c r="H32" s="7"/>
    </row>
    <row r="33" spans="1:8">
      <c r="A33" s="7"/>
      <c r="B33" s="7"/>
      <c r="C33" s="7"/>
      <c r="D33" s="7"/>
      <c r="E33" s="7"/>
      <c r="F33" s="7"/>
      <c r="G33" s="7"/>
      <c r="H33" s="7"/>
    </row>
    <row r="34" spans="1:8">
      <c r="A34" s="7"/>
      <c r="B34" s="7"/>
      <c r="C34" s="7"/>
      <c r="D34" s="7"/>
      <c r="E34" s="7"/>
      <c r="F34" s="7"/>
      <c r="G34" s="7"/>
      <c r="H34" s="7"/>
    </row>
    <row r="35" spans="1:8">
      <c r="A35" s="7"/>
      <c r="B35" s="7"/>
      <c r="C35" s="7"/>
      <c r="D35" s="7"/>
      <c r="E35" s="7"/>
      <c r="F35" s="7"/>
      <c r="G35" s="7"/>
      <c r="H35" s="7"/>
    </row>
    <row r="36" spans="1:8">
      <c r="A36" s="7"/>
      <c r="B36" s="7"/>
      <c r="C36" s="7"/>
      <c r="D36" s="7"/>
      <c r="E36" s="7"/>
      <c r="F36" s="7"/>
      <c r="G36" s="7"/>
      <c r="H36" s="7"/>
    </row>
    <row r="37" spans="1:8">
      <c r="A37" s="7"/>
      <c r="B37" s="7"/>
      <c r="C37" s="7"/>
      <c r="D37" s="7"/>
      <c r="E37" s="7"/>
      <c r="F37" s="7"/>
      <c r="G37" s="7"/>
      <c r="H37" s="7"/>
    </row>
    <row r="38" spans="1:8">
      <c r="A38" s="7"/>
      <c r="B38" s="7"/>
      <c r="C38" s="7"/>
      <c r="D38" s="7"/>
      <c r="E38" s="7"/>
      <c r="F38" s="7"/>
      <c r="G38" s="7"/>
      <c r="H38" s="7"/>
    </row>
    <row r="39" spans="1:8">
      <c r="A39" s="7"/>
      <c r="B39" s="7"/>
      <c r="C39" s="7"/>
      <c r="D39" s="7"/>
      <c r="E39" s="7"/>
      <c r="F39" s="7"/>
      <c r="G39" s="7"/>
      <c r="H39" s="7"/>
    </row>
    <row r="40" spans="1:8">
      <c r="A40" s="7"/>
      <c r="B40" s="7"/>
      <c r="C40" s="7"/>
      <c r="D40" s="7"/>
      <c r="E40" s="7"/>
      <c r="F40" s="7"/>
      <c r="G40" s="7"/>
      <c r="H40" s="7"/>
    </row>
    <row r="41" spans="1:8">
      <c r="A41" s="7"/>
      <c r="B41" s="7"/>
      <c r="C41" s="7"/>
      <c r="D41" s="7"/>
      <c r="E41" s="7"/>
      <c r="F41" s="7"/>
      <c r="G41" s="7"/>
      <c r="H41" s="7"/>
    </row>
    <row r="42" spans="1:8">
      <c r="A42" s="7"/>
      <c r="B42" s="7"/>
      <c r="C42" s="7"/>
      <c r="D42" s="7"/>
      <c r="E42" s="7"/>
      <c r="F42" s="7"/>
      <c r="G42" s="7"/>
      <c r="H42" s="7"/>
    </row>
    <row r="43" spans="1:8">
      <c r="A43" s="7"/>
      <c r="B43" s="7"/>
      <c r="C43" s="7"/>
      <c r="D43" s="7"/>
      <c r="E43" s="7"/>
      <c r="F43" s="7"/>
      <c r="G43" s="7"/>
      <c r="H43" s="7"/>
    </row>
    <row r="44" spans="1:8">
      <c r="A44" s="7"/>
      <c r="B44" s="7"/>
      <c r="C44" s="7"/>
      <c r="D44" s="7"/>
      <c r="E44" s="7"/>
      <c r="F44" s="7"/>
      <c r="G44" s="7"/>
      <c r="H44" s="7"/>
    </row>
    <row r="45" spans="1:8">
      <c r="A45" s="7"/>
      <c r="B45" s="7"/>
      <c r="C45" s="7"/>
      <c r="D45" s="7"/>
      <c r="E45" s="7"/>
      <c r="F45" s="7"/>
      <c r="G45" s="7"/>
      <c r="H45" s="7"/>
    </row>
    <row r="46" spans="1:8">
      <c r="A46" s="7"/>
      <c r="B46" s="7"/>
      <c r="C46" s="7"/>
      <c r="D46" s="7"/>
      <c r="E46" s="7"/>
      <c r="F46" s="7"/>
      <c r="G46" s="7"/>
      <c r="H46" s="7"/>
    </row>
    <row r="47" spans="1:8">
      <c r="A47" s="7"/>
      <c r="B47" s="7"/>
      <c r="C47" s="7"/>
      <c r="D47" s="7"/>
      <c r="E47" s="7"/>
      <c r="F47" s="7"/>
      <c r="G47" s="7"/>
      <c r="H47" s="7"/>
    </row>
    <row r="48" spans="1:8">
      <c r="A48" s="7"/>
      <c r="B48" s="7"/>
      <c r="C48" s="7"/>
      <c r="D48" s="7"/>
      <c r="E48" s="7"/>
      <c r="F48" s="7"/>
      <c r="G48" s="7"/>
      <c r="H48" s="7"/>
    </row>
    <row r="49" spans="1:8">
      <c r="A49" s="7"/>
      <c r="B49" s="7"/>
      <c r="C49" s="7"/>
      <c r="D49" s="7"/>
      <c r="E49" s="7"/>
      <c r="F49" s="7"/>
      <c r="G49" s="7"/>
      <c r="H49" s="7"/>
    </row>
    <row r="50" spans="1:8">
      <c r="A50" s="7"/>
      <c r="B50" s="7"/>
      <c r="C50" s="7"/>
      <c r="D50" s="7"/>
      <c r="E50" s="7"/>
      <c r="F50" s="7"/>
      <c r="G50" s="7"/>
      <c r="H50" s="7"/>
    </row>
    <row r="51" spans="1:8">
      <c r="A51" s="7"/>
      <c r="B51" s="7"/>
      <c r="C51" s="7"/>
      <c r="D51" s="7"/>
      <c r="E51" s="7"/>
      <c r="F51" s="7"/>
      <c r="G51" s="7"/>
      <c r="H51" s="7"/>
    </row>
    <row r="52" spans="1:8">
      <c r="A52" s="7"/>
      <c r="B52" s="7"/>
      <c r="C52" s="7"/>
      <c r="D52" s="7"/>
      <c r="E52" s="7"/>
      <c r="F52" s="7"/>
      <c r="G52" s="7"/>
      <c r="H52" s="7"/>
    </row>
    <row r="53" spans="1:8">
      <c r="A53" s="7"/>
      <c r="B53" s="7"/>
      <c r="C53" s="7"/>
      <c r="D53" s="7"/>
      <c r="E53" s="7"/>
      <c r="F53" s="7"/>
      <c r="G53" s="7"/>
      <c r="H53" s="7"/>
    </row>
    <row r="54" spans="1:8">
      <c r="A54" s="7"/>
      <c r="B54" s="7"/>
      <c r="C54" s="7"/>
      <c r="D54" s="7"/>
      <c r="E54" s="7"/>
      <c r="F54" s="7"/>
      <c r="G54" s="7"/>
      <c r="H54" s="7"/>
    </row>
    <row r="55" spans="1:8">
      <c r="A55" s="7"/>
      <c r="B55" s="7"/>
      <c r="C55" s="7"/>
      <c r="D55" s="7"/>
      <c r="E55" s="7"/>
      <c r="F55" s="7"/>
      <c r="G55" s="7"/>
      <c r="H55" s="7"/>
    </row>
    <row r="56" spans="1:8">
      <c r="A56" s="7"/>
      <c r="B56" s="7"/>
      <c r="C56" s="7"/>
      <c r="D56" s="7"/>
      <c r="E56" s="7"/>
      <c r="F56" s="7"/>
      <c r="G56" s="7"/>
      <c r="H56" s="7"/>
    </row>
    <row r="57" spans="1:8">
      <c r="A57" s="7"/>
      <c r="B57" s="7"/>
      <c r="C57" s="7"/>
      <c r="D57" s="7"/>
      <c r="E57" s="7"/>
      <c r="F57" s="7"/>
      <c r="G57" s="7"/>
      <c r="H57" s="7"/>
    </row>
    <row r="58" spans="1:8">
      <c r="A58" s="7"/>
      <c r="B58" s="7"/>
      <c r="C58" s="7"/>
      <c r="D58" s="7"/>
      <c r="E58" s="7"/>
      <c r="F58" s="7"/>
      <c r="G58" s="7"/>
      <c r="H58" s="7"/>
    </row>
    <row r="59" spans="1:8">
      <c r="A59" s="7"/>
      <c r="B59" s="7"/>
      <c r="C59" s="7"/>
      <c r="D59" s="7"/>
      <c r="E59" s="7"/>
      <c r="F59" s="7"/>
      <c r="G59" s="7"/>
      <c r="H59" s="7"/>
    </row>
    <row r="60" spans="1:8">
      <c r="A60" s="7"/>
      <c r="B60" s="7"/>
      <c r="C60" s="7"/>
      <c r="D60" s="7"/>
      <c r="E60" s="7"/>
      <c r="F60" s="7"/>
      <c r="G60" s="7"/>
      <c r="H60" s="7"/>
    </row>
    <row r="61" spans="1:8">
      <c r="A61" s="7"/>
      <c r="B61" s="7"/>
      <c r="C61" s="7"/>
      <c r="D61" s="7"/>
      <c r="E61" s="7"/>
      <c r="F61" s="7"/>
      <c r="G61" s="7"/>
      <c r="H61" s="7"/>
    </row>
    <row r="62" spans="1:8">
      <c r="A62" s="7"/>
      <c r="B62" s="7"/>
      <c r="C62" s="7"/>
      <c r="D62" s="7"/>
      <c r="E62" s="7"/>
      <c r="F62" s="7"/>
      <c r="G62" s="7"/>
      <c r="H62" s="7"/>
    </row>
    <row r="63" spans="1:8">
      <c r="A63" s="7"/>
      <c r="B63" s="7"/>
      <c r="C63" s="7"/>
      <c r="D63" s="7"/>
      <c r="E63" s="7"/>
      <c r="F63" s="7"/>
      <c r="G63" s="7"/>
      <c r="H63" s="7"/>
    </row>
    <row r="64" spans="1:8">
      <c r="A64" s="7"/>
      <c r="B64" s="7"/>
      <c r="C64" s="7"/>
      <c r="D64" s="7"/>
      <c r="E64" s="7"/>
      <c r="F64" s="7"/>
      <c r="G64" s="7"/>
      <c r="H64" s="7"/>
    </row>
    <row r="65" spans="1:8">
      <c r="A65" s="7"/>
      <c r="B65" s="7"/>
      <c r="C65" s="7"/>
      <c r="D65" s="7"/>
      <c r="E65" s="7"/>
      <c r="F65" s="7"/>
      <c r="G65" s="7"/>
      <c r="H65" s="7"/>
    </row>
    <row r="66" spans="1:8">
      <c r="A66" s="7"/>
      <c r="B66" s="7"/>
      <c r="C66" s="7"/>
      <c r="D66" s="7"/>
      <c r="E66" s="7"/>
      <c r="F66" s="7"/>
      <c r="G66" s="7"/>
      <c r="H66" s="7"/>
    </row>
    <row r="67" spans="1:8">
      <c r="A67" s="7"/>
      <c r="B67" s="7"/>
      <c r="C67" s="7"/>
      <c r="D67" s="7"/>
      <c r="E67" s="7"/>
      <c r="F67" s="7"/>
      <c r="G67" s="7"/>
      <c r="H67" s="7"/>
    </row>
    <row r="68" spans="1:8">
      <c r="A68" s="7"/>
      <c r="B68" s="7"/>
      <c r="C68" s="7"/>
      <c r="D68" s="7"/>
      <c r="E68" s="7"/>
      <c r="F68" s="7"/>
      <c r="G68" s="7"/>
      <c r="H68" s="7"/>
    </row>
    <row r="69" spans="1:8">
      <c r="A69" s="7"/>
      <c r="B69" s="7"/>
      <c r="C69" s="7"/>
      <c r="D69" s="7"/>
      <c r="E69" s="7"/>
      <c r="F69" s="7"/>
      <c r="G69" s="7"/>
      <c r="H69" s="7"/>
    </row>
    <row r="70" spans="1:8">
      <c r="A70" s="7"/>
      <c r="B70" s="7"/>
      <c r="C70" s="7"/>
      <c r="D70" s="7"/>
      <c r="E70" s="7"/>
      <c r="F70" s="7"/>
      <c r="G70" s="7"/>
      <c r="H70" s="7"/>
    </row>
    <row r="71" spans="1:8">
      <c r="A71" s="7"/>
      <c r="B71" s="7"/>
      <c r="C71" s="7"/>
      <c r="D71" s="7"/>
      <c r="E71" s="7"/>
      <c r="F71" s="7"/>
      <c r="G71" s="7"/>
      <c r="H71" s="7"/>
    </row>
    <row r="72" spans="1:8">
      <c r="A72" s="7"/>
      <c r="B72" s="7"/>
      <c r="C72" s="7"/>
      <c r="D72" s="7"/>
      <c r="E72" s="7"/>
      <c r="F72" s="7"/>
      <c r="G72" s="7"/>
      <c r="H72" s="7"/>
    </row>
    <row r="73" spans="1:8">
      <c r="A73" s="7"/>
      <c r="B73" s="7"/>
      <c r="C73" s="7"/>
      <c r="D73" s="7"/>
      <c r="E73" s="7"/>
      <c r="F73" s="7"/>
      <c r="G73" s="7"/>
      <c r="H73" s="7"/>
    </row>
    <row r="74" spans="1:8">
      <c r="A74" s="7"/>
      <c r="B74" s="7"/>
      <c r="C74" s="7"/>
      <c r="D74" s="7"/>
      <c r="E74" s="7"/>
      <c r="F74" s="7"/>
      <c r="G74" s="7"/>
      <c r="H74" s="7"/>
    </row>
    <row r="75" spans="1:8">
      <c r="A75" s="7"/>
      <c r="B75" s="7"/>
      <c r="C75" s="7"/>
      <c r="D75" s="7"/>
      <c r="E75" s="7"/>
      <c r="F75" s="7"/>
      <c r="G75" s="7"/>
      <c r="H75" s="7"/>
    </row>
    <row r="76" spans="1:8">
      <c r="A76" s="7"/>
      <c r="B76" s="7"/>
      <c r="C76" s="7"/>
      <c r="D76" s="7"/>
      <c r="E76" s="7"/>
      <c r="F76" s="7"/>
      <c r="G76" s="7"/>
      <c r="H76" s="7"/>
    </row>
    <row r="77" spans="1:8">
      <c r="A77" s="7"/>
      <c r="B77" s="7"/>
      <c r="C77" s="7"/>
      <c r="D77" s="7"/>
      <c r="E77" s="7"/>
      <c r="F77" s="7"/>
      <c r="G77" s="7"/>
      <c r="H77" s="7"/>
    </row>
    <row r="78" spans="1:8">
      <c r="A78" s="7"/>
      <c r="B78" s="7"/>
      <c r="C78" s="7"/>
      <c r="D78" s="7"/>
      <c r="E78" s="7"/>
      <c r="F78" s="7"/>
      <c r="G78" s="7"/>
      <c r="H78" s="7"/>
    </row>
    <row r="79" spans="1:8">
      <c r="A79" s="7"/>
      <c r="B79" s="7"/>
      <c r="C79" s="7"/>
      <c r="D79" s="7"/>
      <c r="E79" s="7"/>
      <c r="F79" s="7"/>
      <c r="G79" s="7"/>
      <c r="H79" s="7"/>
    </row>
    <row r="80" spans="1:8">
      <c r="A80" s="7"/>
      <c r="B80" s="7"/>
      <c r="C80" s="7"/>
      <c r="D80" s="7"/>
      <c r="E80" s="7"/>
      <c r="F80" s="7"/>
      <c r="G80" s="7"/>
      <c r="H80" s="7"/>
    </row>
  </sheetData>
  <mergeCells count="7">
    <mergeCell ref="A18:D18"/>
    <mergeCell ref="F24:H24"/>
    <mergeCell ref="A1:H2"/>
    <mergeCell ref="A4:H4"/>
    <mergeCell ref="A5:H7"/>
    <mergeCell ref="A9:D9"/>
    <mergeCell ref="F9:H9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0_README</vt:lpstr>
      <vt:lpstr>1_Schema</vt:lpstr>
      <vt:lpstr>2_Cross_Layer_Edges</vt:lpstr>
      <vt:lpstr>3_Flags</vt:lpstr>
      <vt:lpstr>4_Vocab</vt:lpstr>
      <vt:lpstr>5_Output_Mapping</vt:lpstr>
      <vt:lpstr>6_Interface_Invariants</vt:lpstr>
      <vt:lpstr>7_Document_Evaluation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Nora Zhang</dc:creator>
  <cp:lastModifiedBy>Claire Qiu</cp:lastModifiedBy>
  <dcterms:created xsi:type="dcterms:W3CDTF">2026-07-13T20:19:25Z</dcterms:created>
  <dcterms:modified xsi:type="dcterms:W3CDTF">2026-07-13T23:38:05Z</dcterms:modified>
</cp:coreProperties>
</file>